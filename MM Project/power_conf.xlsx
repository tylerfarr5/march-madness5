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142a7899cd6ef7/Documents/Data Science/MM Project/"/>
    </mc:Choice>
  </mc:AlternateContent>
  <xr:revisionPtr revIDLastSave="339" documentId="8_{3F656764-D075-4436-A260-5941B03FB469}" xr6:coauthVersionLast="47" xr6:coauthVersionMax="47" xr10:uidLastSave="{8606E7E2-7755-4103-A305-57D570F79BE1}"/>
  <bookViews>
    <workbookView xWindow="-110" yWindow="-110" windowWidth="19420" windowHeight="11500" xr2:uid="{980E11DF-C26F-4A55-B050-3D3DE26D548C}"/>
  </bookViews>
  <sheets>
    <sheet name="power_conf" sheetId="1" r:id="rId1"/>
    <sheet name="team lookup" sheetId="2" r:id="rId2"/>
  </sheets>
  <definedNames>
    <definedName name="_xlnm._FilterDatabase" localSheetId="0" hidden="1">power_conf!$A$1:$F$1144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45" i="1" l="1" a="1"/>
  <c r="D1145" i="1" s="1"/>
  <c r="D1146" i="1" a="1"/>
  <c r="D1146" i="1" s="1"/>
  <c r="D1147" i="1" a="1"/>
  <c r="D1147" i="1" s="1"/>
  <c r="D1148" i="1" a="1"/>
  <c r="D1148" i="1" s="1"/>
  <c r="D1149" i="1" a="1"/>
  <c r="D1149" i="1" s="1"/>
  <c r="D1150" i="1" a="1"/>
  <c r="D1150" i="1" s="1"/>
  <c r="D1151" i="1" a="1"/>
  <c r="D1151" i="1" s="1"/>
  <c r="D1152" i="1" a="1"/>
  <c r="D1152" i="1" s="1"/>
  <c r="D1153" i="1" a="1"/>
  <c r="D1153" i="1" s="1"/>
  <c r="D1154" i="1" a="1"/>
  <c r="D1154" i="1" s="1"/>
  <c r="D1155" i="1" a="1"/>
  <c r="D1155" i="1" s="1"/>
  <c r="D1156" i="1" a="1"/>
  <c r="D1156" i="1" s="1"/>
  <c r="D1157" i="1" a="1"/>
  <c r="D1157" i="1" s="1"/>
  <c r="D1158" i="1" a="1"/>
  <c r="D1158" i="1" s="1"/>
  <c r="D1159" i="1" a="1"/>
  <c r="D1159" i="1" s="1"/>
  <c r="D1160" i="1" a="1"/>
  <c r="D1160" i="1" s="1"/>
  <c r="D1161" i="1" a="1"/>
  <c r="D1161" i="1" s="1"/>
  <c r="D1162" i="1" a="1"/>
  <c r="D1162" i="1" s="1"/>
  <c r="D1163" i="1" a="1"/>
  <c r="D1163" i="1" s="1"/>
  <c r="D1164" i="1" a="1"/>
  <c r="D1164" i="1" s="1"/>
  <c r="D1165" i="1" a="1"/>
  <c r="D1165" i="1" s="1"/>
  <c r="D1166" i="1" a="1"/>
  <c r="D1166" i="1" s="1"/>
  <c r="D1167" i="1" a="1"/>
  <c r="D1167" i="1" s="1"/>
  <c r="D1168" i="1" a="1"/>
  <c r="D1168" i="1" s="1"/>
  <c r="D1169" i="1" a="1"/>
  <c r="D1169" i="1" s="1"/>
  <c r="D1170" i="1" a="1"/>
  <c r="D1170" i="1" s="1"/>
  <c r="D1171" i="1" a="1"/>
  <c r="D1171" i="1" s="1"/>
  <c r="D1172" i="1" a="1"/>
  <c r="D1172" i="1" s="1"/>
  <c r="D1173" i="1" a="1"/>
  <c r="D1173" i="1" s="1"/>
  <c r="D1174" i="1" a="1"/>
  <c r="D1174" i="1" s="1"/>
  <c r="D1175" i="1" a="1"/>
  <c r="D1175" i="1" s="1"/>
  <c r="D1176" i="1" a="1"/>
  <c r="D1176" i="1" s="1"/>
  <c r="D1177" i="1" a="1"/>
  <c r="D1177" i="1" s="1"/>
  <c r="D1178" i="1" a="1"/>
  <c r="D1178" i="1" s="1"/>
  <c r="D1179" i="1" a="1"/>
  <c r="D1179" i="1" s="1"/>
  <c r="D1180" i="1" a="1"/>
  <c r="D1180" i="1" s="1"/>
  <c r="D1181" i="1" a="1"/>
  <c r="D1181" i="1" s="1"/>
  <c r="D1182" i="1" a="1"/>
  <c r="D1182" i="1" s="1"/>
  <c r="D1183" i="1" a="1"/>
  <c r="D1183" i="1" s="1"/>
  <c r="D1184" i="1" a="1"/>
  <c r="D1184" i="1" s="1"/>
  <c r="D1185" i="1" a="1"/>
  <c r="D1185" i="1" s="1"/>
  <c r="D1186" i="1" a="1"/>
  <c r="D1186" i="1" s="1"/>
  <c r="D1187" i="1" a="1"/>
  <c r="D1187" i="1" s="1"/>
  <c r="D1188" i="1" a="1"/>
  <c r="D1188" i="1" s="1"/>
  <c r="D1189" i="1" a="1"/>
  <c r="D1189" i="1" s="1"/>
  <c r="D1190" i="1" a="1"/>
  <c r="D1190" i="1" s="1"/>
  <c r="D1191" i="1" a="1"/>
  <c r="D1191" i="1" s="1"/>
  <c r="D1192" i="1" a="1"/>
  <c r="D1192" i="1" s="1"/>
  <c r="D1193" i="1" a="1"/>
  <c r="D1193" i="1" s="1"/>
  <c r="D1194" i="1" a="1"/>
  <c r="D1194" i="1" s="1"/>
  <c r="D1195" i="1" a="1"/>
  <c r="D1195" i="1" s="1"/>
  <c r="D1196" i="1" a="1"/>
  <c r="D1196" i="1" s="1"/>
  <c r="D1197" i="1" a="1"/>
  <c r="D1197" i="1" s="1"/>
  <c r="D1198" i="1" a="1"/>
  <c r="D1198" i="1" s="1"/>
  <c r="D1199" i="1" a="1"/>
  <c r="D1199" i="1" s="1"/>
  <c r="D1200" i="1" a="1"/>
  <c r="D1200" i="1" s="1"/>
  <c r="D1201" i="1" a="1"/>
  <c r="D1201" i="1" s="1"/>
  <c r="D1202" i="1" a="1"/>
  <c r="D1202" i="1" s="1"/>
  <c r="D1203" i="1" a="1"/>
  <c r="D1203" i="1" s="1"/>
  <c r="D1204" i="1" a="1"/>
  <c r="D1204" i="1" s="1"/>
  <c r="D1205" i="1" a="1"/>
  <c r="D1205" i="1" s="1"/>
  <c r="D1206" i="1" a="1"/>
  <c r="D1206" i="1" s="1"/>
  <c r="D1207" i="1" a="1"/>
  <c r="D1207" i="1" s="1"/>
  <c r="D1208" i="1" a="1"/>
  <c r="D1208" i="1" s="1"/>
  <c r="D1209" i="1" a="1"/>
  <c r="D1209" i="1" s="1"/>
  <c r="D1210" i="1" a="1"/>
  <c r="D1210" i="1" s="1"/>
  <c r="D1211" i="1" a="1"/>
  <c r="D1211" i="1" s="1"/>
  <c r="D1212" i="1" a="1"/>
  <c r="D1212" i="1" s="1"/>
  <c r="F35" i="1"/>
  <c r="F37" i="1"/>
  <c r="F51" i="1"/>
  <c r="F59" i="1"/>
  <c r="F68" i="1"/>
  <c r="F94" i="1"/>
  <c r="F95" i="1"/>
  <c r="F110" i="1"/>
  <c r="F120" i="1"/>
  <c r="F122" i="1"/>
  <c r="F144" i="1"/>
  <c r="F156" i="1"/>
  <c r="F158" i="1"/>
  <c r="F159" i="1"/>
  <c r="F177" i="1"/>
  <c r="F201" i="1"/>
  <c r="F203" i="1"/>
  <c r="F212" i="1"/>
  <c r="F213" i="1"/>
  <c r="F214" i="1"/>
  <c r="F215" i="1"/>
  <c r="F237" i="1"/>
  <c r="F239" i="1"/>
  <c r="F248" i="1"/>
  <c r="F253" i="1"/>
  <c r="F255" i="1"/>
  <c r="F264" i="1"/>
  <c r="F265" i="1"/>
  <c r="F300" i="1"/>
  <c r="F309" i="1"/>
  <c r="F311" i="1"/>
  <c r="F324" i="1"/>
  <c r="F344" i="1"/>
  <c r="F345" i="1"/>
  <c r="F346" i="1"/>
  <c r="F347" i="1"/>
  <c r="F356" i="1"/>
  <c r="F380" i="1"/>
  <c r="F393" i="1"/>
  <c r="F395" i="1"/>
  <c r="F396" i="1"/>
  <c r="F397" i="1"/>
  <c r="F398" i="1"/>
  <c r="F452" i="1"/>
  <c r="F482" i="1"/>
  <c r="F483" i="1"/>
  <c r="F488" i="1"/>
  <c r="F501" i="1"/>
  <c r="F507" i="1"/>
  <c r="F536" i="1"/>
  <c r="F537" i="1"/>
  <c r="F538" i="1"/>
  <c r="F539" i="1"/>
  <c r="F577" i="1"/>
  <c r="F579" i="1"/>
  <c r="F588" i="1"/>
  <c r="F589" i="1"/>
  <c r="F611" i="1"/>
  <c r="F613" i="1"/>
  <c r="F614" i="1"/>
  <c r="F615" i="1"/>
  <c r="F624" i="1"/>
  <c r="F633" i="1"/>
  <c r="F635" i="1"/>
  <c r="F668" i="1"/>
  <c r="F669" i="1"/>
  <c r="F670" i="1"/>
  <c r="F671" i="1"/>
  <c r="F680" i="1"/>
  <c r="F704" i="1"/>
  <c r="F717" i="1"/>
  <c r="F719" i="1"/>
  <c r="F720" i="1"/>
  <c r="F721" i="1"/>
  <c r="F722" i="1"/>
  <c r="F752" i="1"/>
  <c r="F754" i="1"/>
  <c r="F755" i="1"/>
  <c r="F756" i="1"/>
  <c r="F769" i="1"/>
  <c r="F771" i="1"/>
  <c r="F776" i="1"/>
  <c r="F812" i="1"/>
  <c r="F825" i="1"/>
  <c r="F831" i="1"/>
  <c r="F887" i="1"/>
  <c r="F901" i="1"/>
  <c r="F903" i="1"/>
  <c r="F912" i="1"/>
  <c r="F948" i="1"/>
  <c r="F957" i="1"/>
  <c r="F959" i="1"/>
  <c r="F992" i="1"/>
  <c r="F993" i="1"/>
  <c r="F994" i="1"/>
  <c r="F995" i="1"/>
  <c r="F1004" i="1"/>
  <c r="F1022" i="1"/>
  <c r="F1024" i="1"/>
  <c r="F1033" i="1"/>
  <c r="F1035" i="1"/>
  <c r="F1036" i="1"/>
  <c r="F1037" i="1"/>
  <c r="F1038" i="1"/>
  <c r="F1056" i="1"/>
  <c r="F1058" i="1"/>
  <c r="F1059" i="1"/>
  <c r="F1060" i="1"/>
  <c r="F1069" i="1"/>
  <c r="F1071" i="1"/>
  <c r="F1072" i="1"/>
  <c r="F1092" i="1"/>
  <c r="F1093" i="1"/>
  <c r="F1094" i="1"/>
  <c r="F1095" i="1"/>
  <c r="F1096" i="1"/>
  <c r="F1105" i="1"/>
  <c r="F1128" i="1"/>
  <c r="F1129" i="1"/>
  <c r="F1130" i="1"/>
  <c r="F1131" i="1"/>
  <c r="E4" i="1"/>
  <c r="E14" i="1"/>
  <c r="E16" i="1"/>
  <c r="E36" i="1"/>
  <c r="E38" i="1"/>
  <c r="E39" i="1"/>
  <c r="E40" i="1"/>
  <c r="E50" i="1"/>
  <c r="E52" i="1"/>
  <c r="E61" i="1"/>
  <c r="E72" i="1"/>
  <c r="E73" i="1"/>
  <c r="E74" i="1"/>
  <c r="E75" i="1"/>
  <c r="E76" i="1"/>
  <c r="E95" i="1"/>
  <c r="E97" i="1"/>
  <c r="E106" i="1"/>
  <c r="E108" i="1"/>
  <c r="E109" i="1"/>
  <c r="E110" i="1"/>
  <c r="E111" i="1"/>
  <c r="E129" i="1"/>
  <c r="E131" i="1"/>
  <c r="E132" i="1"/>
  <c r="E133" i="1"/>
  <c r="E142" i="1"/>
  <c r="E144" i="1"/>
  <c r="E145" i="1"/>
  <c r="E158" i="1"/>
  <c r="E165" i="1"/>
  <c r="E166" i="1"/>
  <c r="E167" i="1"/>
  <c r="E168" i="1"/>
  <c r="E169" i="1"/>
  <c r="E178" i="1"/>
  <c r="E201" i="1"/>
  <c r="E202" i="1"/>
  <c r="E203" i="1"/>
  <c r="E204" i="1"/>
  <c r="E229" i="1"/>
  <c r="E231" i="1"/>
  <c r="E232" i="1"/>
  <c r="E233" i="1"/>
  <c r="E247" i="1"/>
  <c r="E248" i="1"/>
  <c r="E253" i="1"/>
  <c r="E255" i="1"/>
  <c r="E260" i="1"/>
  <c r="E271" i="1"/>
  <c r="E272" i="1"/>
  <c r="E284" i="1"/>
  <c r="E289" i="1"/>
  <c r="E294" i="1"/>
  <c r="E307" i="1"/>
  <c r="E308" i="1"/>
  <c r="E313" i="1"/>
  <c r="E315" i="1"/>
  <c r="E316" i="1"/>
  <c r="E330" i="1"/>
  <c r="E331" i="1"/>
  <c r="E332" i="1"/>
  <c r="E337" i="1"/>
  <c r="E343" i="1"/>
  <c r="E352" i="1"/>
  <c r="E353" i="1"/>
  <c r="E354" i="1"/>
  <c r="E355" i="1"/>
  <c r="E365" i="1"/>
  <c r="E367" i="1"/>
  <c r="E368" i="1"/>
  <c r="E376" i="1"/>
  <c r="E377" i="1"/>
  <c r="E389" i="1"/>
  <c r="E390" i="1"/>
  <c r="E391" i="1"/>
  <c r="E392" i="1"/>
  <c r="E397" i="1"/>
  <c r="E399" i="1"/>
  <c r="E412" i="1"/>
  <c r="E413" i="1"/>
  <c r="E414" i="1"/>
  <c r="E415" i="1"/>
  <c r="E416" i="1"/>
  <c r="E426" i="1"/>
  <c r="E428" i="1"/>
  <c r="E436" i="1"/>
  <c r="E437" i="1"/>
  <c r="E438" i="1"/>
  <c r="E448" i="1"/>
  <c r="E450" i="1"/>
  <c r="E451" i="1"/>
  <c r="E459" i="1"/>
  <c r="E460" i="1"/>
  <c r="E472" i="1"/>
  <c r="E473" i="1"/>
  <c r="E474" i="1"/>
  <c r="E475" i="1"/>
  <c r="E476" i="1"/>
  <c r="E481" i="1"/>
  <c r="E487" i="1"/>
  <c r="E495" i="1"/>
  <c r="E496" i="1"/>
  <c r="E497" i="1"/>
  <c r="E498" i="1"/>
  <c r="E499" i="1"/>
  <c r="E509" i="1"/>
  <c r="E511" i="1"/>
  <c r="E512" i="1"/>
  <c r="E519" i="1"/>
  <c r="E520" i="1"/>
  <c r="E521" i="1"/>
  <c r="E531" i="1"/>
  <c r="E533" i="1"/>
  <c r="E534" i="1"/>
  <c r="E535" i="1"/>
  <c r="E536" i="1"/>
  <c r="E541" i="1"/>
  <c r="E543" i="1"/>
  <c r="E555" i="1"/>
  <c r="E556" i="1"/>
  <c r="E557" i="1"/>
  <c r="E558" i="1"/>
  <c r="E559" i="1"/>
  <c r="E560" i="1"/>
  <c r="E570" i="1"/>
  <c r="E577" i="1"/>
  <c r="E578" i="1"/>
  <c r="E579" i="1"/>
  <c r="E580" i="1"/>
  <c r="E581" i="1"/>
  <c r="E590" i="1"/>
  <c r="E592" i="1"/>
  <c r="E593" i="1"/>
  <c r="E594" i="1"/>
  <c r="E595" i="1"/>
  <c r="E596" i="1"/>
  <c r="E601" i="1"/>
  <c r="E613" i="1"/>
  <c r="E614" i="1"/>
  <c r="E615" i="1"/>
  <c r="E616" i="1"/>
  <c r="E617" i="1"/>
  <c r="E626" i="1"/>
  <c r="E628" i="1"/>
  <c r="E629" i="1"/>
  <c r="E637" i="1"/>
  <c r="E649" i="1"/>
  <c r="E650" i="1"/>
  <c r="E651" i="1"/>
  <c r="E652" i="1"/>
  <c r="E653" i="1"/>
  <c r="E668" i="1"/>
  <c r="E673" i="1"/>
  <c r="E680" i="1"/>
  <c r="E685" i="1"/>
  <c r="E686" i="1"/>
  <c r="E687" i="1"/>
  <c r="E688" i="1"/>
  <c r="E689" i="1"/>
  <c r="E704" i="1"/>
  <c r="E709" i="1"/>
  <c r="E716" i="1"/>
  <c r="E721" i="1"/>
  <c r="E722" i="1"/>
  <c r="E723" i="1"/>
  <c r="E724" i="1"/>
  <c r="E725" i="1"/>
  <c r="E739" i="1"/>
  <c r="E740" i="1"/>
  <c r="E745" i="1"/>
  <c r="E752" i="1"/>
  <c r="E761" i="1"/>
  <c r="E774" i="1"/>
  <c r="E775" i="1"/>
  <c r="E776" i="1"/>
  <c r="E781" i="1"/>
  <c r="E786" i="1"/>
  <c r="E788" i="1"/>
  <c r="E797" i="1"/>
  <c r="E809" i="1"/>
  <c r="E810" i="1"/>
  <c r="E811" i="1"/>
  <c r="E812" i="1"/>
  <c r="E817" i="1"/>
  <c r="E829" i="1"/>
  <c r="E830" i="1"/>
  <c r="E831" i="1"/>
  <c r="E832" i="1"/>
  <c r="E833" i="1"/>
  <c r="E842" i="1"/>
  <c r="E844" i="1"/>
  <c r="E845" i="1"/>
  <c r="E846" i="1"/>
  <c r="E847" i="1"/>
  <c r="E848" i="1"/>
  <c r="E853" i="1"/>
  <c r="E865" i="1"/>
  <c r="E866" i="1"/>
  <c r="E867" i="1"/>
  <c r="E868" i="1"/>
  <c r="E869" i="1"/>
  <c r="E878" i="1"/>
  <c r="E880" i="1"/>
  <c r="E881" i="1"/>
  <c r="E882" i="1"/>
  <c r="E883" i="1"/>
  <c r="E884" i="1"/>
  <c r="E889" i="1"/>
  <c r="E901" i="1"/>
  <c r="E902" i="1"/>
  <c r="E903" i="1"/>
  <c r="E904" i="1"/>
  <c r="E905" i="1"/>
  <c r="E925" i="1"/>
  <c r="E932" i="1"/>
  <c r="E937" i="1"/>
  <c r="E938" i="1"/>
  <c r="E939" i="1"/>
  <c r="E940" i="1"/>
  <c r="E941" i="1"/>
  <c r="E955" i="1"/>
  <c r="E956" i="1"/>
  <c r="E961" i="1"/>
  <c r="E966" i="1"/>
  <c r="E968" i="1"/>
  <c r="E989" i="1"/>
  <c r="E990" i="1"/>
  <c r="E991" i="1"/>
  <c r="E992" i="1"/>
  <c r="E997" i="1"/>
  <c r="E1002" i="1"/>
  <c r="E1004" i="1"/>
  <c r="E1012" i="1"/>
  <c r="E1013" i="1"/>
  <c r="E1022" i="1"/>
  <c r="E1024" i="1"/>
  <c r="E1025" i="1"/>
  <c r="E1026" i="1"/>
  <c r="E1027" i="1"/>
  <c r="E1028" i="1"/>
  <c r="E1033" i="1"/>
  <c r="E1045" i="1"/>
  <c r="E1046" i="1"/>
  <c r="E1047" i="1"/>
  <c r="E1048" i="1"/>
  <c r="E1049" i="1"/>
  <c r="E1069" i="1"/>
  <c r="E1081" i="1"/>
  <c r="E1082" i="1"/>
  <c r="E1083" i="1"/>
  <c r="E1084" i="1"/>
  <c r="E1085" i="1"/>
  <c r="E1105" i="1"/>
  <c r="E1117" i="1"/>
  <c r="E1118" i="1"/>
  <c r="E1119" i="1"/>
  <c r="E1120" i="1"/>
  <c r="E1121" i="1"/>
  <c r="E1136" i="1"/>
  <c r="E1141" i="1"/>
  <c r="D3" i="1" a="1"/>
  <c r="D3" i="1" s="1"/>
  <c r="F3" i="1" s="1"/>
  <c r="D4" i="1" a="1"/>
  <c r="D4" i="1" s="1"/>
  <c r="F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F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F14" i="1" s="1"/>
  <c r="D15" i="1" a="1"/>
  <c r="D15" i="1" s="1"/>
  <c r="D16" i="1" a="1"/>
  <c r="D16" i="1" s="1"/>
  <c r="F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F21" i="1" s="1"/>
  <c r="D22" i="1" a="1"/>
  <c r="D22" i="1" s="1"/>
  <c r="F22" i="1" s="1"/>
  <c r="D23" i="1" a="1"/>
  <c r="D23" i="1" s="1"/>
  <c r="E23" i="1" s="1"/>
  <c r="D24" i="1" a="1"/>
  <c r="D24" i="1" s="1"/>
  <c r="F24" i="1" s="1"/>
  <c r="D25" i="1" a="1"/>
  <c r="D25" i="1" s="1"/>
  <c r="F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E32" i="1" s="1"/>
  <c r="D33" i="1" a="1"/>
  <c r="D33" i="1" s="1"/>
  <c r="D34" i="1" a="1"/>
  <c r="D34" i="1" s="1"/>
  <c r="D35" i="1" a="1"/>
  <c r="D35" i="1" s="1"/>
  <c r="E35" i="1" s="1"/>
  <c r="D36" i="1" a="1"/>
  <c r="D36" i="1" s="1"/>
  <c r="F36" i="1" s="1"/>
  <c r="D37" i="1" a="1"/>
  <c r="D37" i="1" s="1"/>
  <c r="E37" i="1" s="1"/>
  <c r="D38" i="1" a="1"/>
  <c r="D38" i="1" s="1"/>
  <c r="F38" i="1" s="1"/>
  <c r="D39" i="1" a="1"/>
  <c r="D39" i="1" s="1"/>
  <c r="F39" i="1" s="1"/>
  <c r="D40" i="1" a="1"/>
  <c r="D40" i="1" s="1"/>
  <c r="F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F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F50" i="1" s="1"/>
  <c r="D51" i="1" a="1"/>
  <c r="D51" i="1" s="1"/>
  <c r="E51" i="1" s="1"/>
  <c r="D52" i="1" a="1"/>
  <c r="D52" i="1" s="1"/>
  <c r="F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E57" i="1" s="1"/>
  <c r="D58" i="1" a="1"/>
  <c r="D58" i="1" s="1"/>
  <c r="D59" i="1" a="1"/>
  <c r="D59" i="1" s="1"/>
  <c r="E59" i="1" s="1"/>
  <c r="D60" i="1" a="1"/>
  <c r="D60" i="1" s="1"/>
  <c r="F60" i="1" s="1"/>
  <c r="D61" i="1" a="1"/>
  <c r="D61" i="1" s="1"/>
  <c r="F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E68" i="1" s="1"/>
  <c r="D69" i="1" a="1"/>
  <c r="D69" i="1" s="1"/>
  <c r="D70" i="1" a="1"/>
  <c r="D70" i="1" s="1"/>
  <c r="D71" i="1" a="1"/>
  <c r="D71" i="1" s="1"/>
  <c r="E71" i="1" s="1"/>
  <c r="D72" i="1" a="1"/>
  <c r="D72" i="1" s="1"/>
  <c r="F72" i="1" s="1"/>
  <c r="D73" i="1" a="1"/>
  <c r="D73" i="1" s="1"/>
  <c r="F73" i="1" s="1"/>
  <c r="D74" i="1" a="1"/>
  <c r="D74" i="1" s="1"/>
  <c r="F74" i="1" s="1"/>
  <c r="D75" i="1" a="1"/>
  <c r="D75" i="1" s="1"/>
  <c r="F75" i="1" s="1"/>
  <c r="D76" i="1" a="1"/>
  <c r="D76" i="1" s="1"/>
  <c r="F76" i="1" s="1"/>
  <c r="D77" i="1" a="1"/>
  <c r="D77" i="1"/>
  <c r="D78" i="1" a="1"/>
  <c r="D78" i="1" s="1"/>
  <c r="D79" i="1" a="1"/>
  <c r="D79" i="1" s="1"/>
  <c r="D80" i="1" a="1"/>
  <c r="D80" i="1" s="1"/>
  <c r="D81" i="1" a="1"/>
  <c r="D81" i="1" s="1"/>
  <c r="F81" i="1" s="1"/>
  <c r="D82" i="1" a="1"/>
  <c r="D82" i="1" s="1"/>
  <c r="D83" i="1" a="1"/>
  <c r="D83" i="1" s="1"/>
  <c r="D84" i="1" a="1"/>
  <c r="D84" i="1" s="1"/>
  <c r="E84" i="1" s="1"/>
  <c r="D85" i="1" a="1"/>
  <c r="D85" i="1" s="1"/>
  <c r="D86" i="1" a="1"/>
  <c r="D86" i="1" s="1"/>
  <c r="F86" i="1" s="1"/>
  <c r="D87" i="1" a="1"/>
  <c r="D87" i="1" s="1"/>
  <c r="E87" i="1" s="1"/>
  <c r="D88" i="1" a="1"/>
  <c r="D88" i="1" s="1"/>
  <c r="F88" i="1" s="1"/>
  <c r="D89" i="1" a="1"/>
  <c r="D89" i="1" s="1"/>
  <c r="D90" i="1" a="1"/>
  <c r="D90" i="1" s="1"/>
  <c r="D91" i="1" a="1"/>
  <c r="D91" i="1" s="1"/>
  <c r="D92" i="1" a="1"/>
  <c r="D92" i="1" s="1"/>
  <c r="E92" i="1" s="1"/>
  <c r="D93" i="1" a="1"/>
  <c r="D93" i="1" s="1"/>
  <c r="D94" i="1" a="1"/>
  <c r="D94" i="1" s="1"/>
  <c r="E94" i="1" s="1"/>
  <c r="D95" i="1" a="1"/>
  <c r="D95" i="1" s="1"/>
  <c r="D96" i="1" a="1"/>
  <c r="D96" i="1" s="1"/>
  <c r="F96" i="1" s="1"/>
  <c r="D97" i="1" a="1"/>
  <c r="D97" i="1" s="1"/>
  <c r="F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E104" i="1" s="1"/>
  <c r="D105" i="1" a="1"/>
  <c r="D105" i="1" s="1"/>
  <c r="D106" i="1" a="1"/>
  <c r="D106" i="1" s="1"/>
  <c r="F106" i="1" s="1"/>
  <c r="D107" i="1" a="1"/>
  <c r="D107" i="1" s="1"/>
  <c r="D108" i="1" a="1"/>
  <c r="D108" i="1" s="1"/>
  <c r="F108" i="1" s="1"/>
  <c r="D109" i="1" a="1"/>
  <c r="D109" i="1" s="1"/>
  <c r="F109" i="1" s="1"/>
  <c r="D110" i="1" a="1"/>
  <c r="D110" i="1" s="1"/>
  <c r="D111" i="1" a="1"/>
  <c r="D111" i="1" s="1"/>
  <c r="F111" i="1" s="1"/>
  <c r="D112" i="1" a="1"/>
  <c r="D112" i="1" s="1"/>
  <c r="F112" i="1" s="1"/>
  <c r="D113" i="1" a="1"/>
  <c r="D113" i="1" s="1"/>
  <c r="D114" i="1" a="1"/>
  <c r="D114" i="1" s="1"/>
  <c r="D115" i="1" a="1"/>
  <c r="D115" i="1"/>
  <c r="D116" i="1" a="1"/>
  <c r="D116" i="1" s="1"/>
  <c r="D117" i="1" a="1"/>
  <c r="D117" i="1" s="1"/>
  <c r="F117" i="1" s="1"/>
  <c r="D118" i="1" a="1"/>
  <c r="D118" i="1" s="1"/>
  <c r="D119" i="1" a="1"/>
  <c r="D119" i="1" s="1"/>
  <c r="D120" i="1" a="1"/>
  <c r="D120" i="1" s="1"/>
  <c r="E120" i="1" s="1"/>
  <c r="D121" i="1" a="1"/>
  <c r="D121" i="1" s="1"/>
  <c r="D122" i="1" a="1"/>
  <c r="D122" i="1" s="1"/>
  <c r="E122" i="1" s="1"/>
  <c r="D123" i="1" a="1"/>
  <c r="D123" i="1" s="1"/>
  <c r="E123" i="1" s="1"/>
  <c r="D124" i="1" a="1"/>
  <c r="D124" i="1" s="1"/>
  <c r="F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F129" i="1" s="1"/>
  <c r="D130" i="1" a="1"/>
  <c r="D130" i="1" s="1"/>
  <c r="F130" i="1" s="1"/>
  <c r="D131" i="1" a="1"/>
  <c r="D131" i="1" s="1"/>
  <c r="F131" i="1" s="1"/>
  <c r="D132" i="1" a="1"/>
  <c r="D132" i="1" s="1"/>
  <c r="F132" i="1" s="1"/>
  <c r="D133" i="1" a="1"/>
  <c r="D133" i="1" s="1"/>
  <c r="F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F142" i="1" s="1"/>
  <c r="D143" i="1" a="1"/>
  <c r="D143" i="1" s="1"/>
  <c r="D144" i="1" a="1"/>
  <c r="D144" i="1" s="1"/>
  <c r="D145" i="1" a="1"/>
  <c r="D145" i="1" s="1"/>
  <c r="F145" i="1" s="1"/>
  <c r="D146" i="1" a="1"/>
  <c r="D146" i="1" s="1"/>
  <c r="E146" i="1" s="1"/>
  <c r="D147" i="1" a="1"/>
  <c r="D147" i="1" s="1"/>
  <c r="E147" i="1" s="1"/>
  <c r="D148" i="1" a="1"/>
  <c r="D148" i="1" s="1"/>
  <c r="F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F153" i="1" s="1"/>
  <c r="D154" i="1" a="1"/>
  <c r="D154" i="1" s="1"/>
  <c r="D155" i="1" a="1"/>
  <c r="D155" i="1" s="1"/>
  <c r="D156" i="1" a="1"/>
  <c r="D156" i="1" s="1"/>
  <c r="E156" i="1" s="1"/>
  <c r="D157" i="1" a="1"/>
  <c r="D157" i="1" s="1"/>
  <c r="D158" i="1" a="1"/>
  <c r="D158" i="1" s="1"/>
  <c r="D159" i="1" a="1"/>
  <c r="D159" i="1" s="1"/>
  <c r="E159" i="1" s="1"/>
  <c r="D160" i="1" a="1"/>
  <c r="D160" i="1" s="1"/>
  <c r="F160" i="1" s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F165" i="1" s="1"/>
  <c r="D166" i="1" a="1"/>
  <c r="D166" i="1" s="1"/>
  <c r="F166" i="1" s="1"/>
  <c r="D167" i="1" a="1"/>
  <c r="D167" i="1" s="1"/>
  <c r="F167" i="1" s="1"/>
  <c r="D168" i="1" a="1"/>
  <c r="D168" i="1" s="1"/>
  <c r="F168" i="1" s="1"/>
  <c r="D169" i="1" a="1"/>
  <c r="D169" i="1" s="1"/>
  <c r="F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E177" i="1" s="1"/>
  <c r="D178" i="1" a="1"/>
  <c r="D178" i="1" s="1"/>
  <c r="F178" i="1" s="1"/>
  <c r="D179" i="1" a="1"/>
  <c r="D179" i="1" s="1"/>
  <c r="E179" i="1" s="1"/>
  <c r="D180" i="1" a="1"/>
  <c r="D180" i="1" s="1"/>
  <c r="E180" i="1" s="1"/>
  <c r="D181" i="1" a="1"/>
  <c r="D181" i="1" s="1"/>
  <c r="E181" i="1" s="1"/>
  <c r="D182" i="1" a="1"/>
  <c r="D182" i="1" s="1"/>
  <c r="E182" i="1" s="1"/>
  <c r="D183" i="1" a="1"/>
  <c r="D183" i="1" s="1"/>
  <c r="E183" i="1" s="1"/>
  <c r="D184" i="1" a="1"/>
  <c r="D184" i="1" s="1"/>
  <c r="F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F189" i="1" s="1"/>
  <c r="D190" i="1" a="1"/>
  <c r="D190" i="1" s="1"/>
  <c r="D191" i="1" a="1"/>
  <c r="D191" i="1" s="1"/>
  <c r="D192" i="1" a="1"/>
  <c r="D192" i="1" s="1"/>
  <c r="E192" i="1" s="1"/>
  <c r="D193" i="1" a="1"/>
  <c r="D193" i="1" s="1"/>
  <c r="D194" i="1" a="1"/>
  <c r="D194" i="1" s="1"/>
  <c r="F194" i="1" s="1"/>
  <c r="D195" i="1" a="1"/>
  <c r="D195" i="1" s="1"/>
  <c r="D196" i="1" a="1"/>
  <c r="D196" i="1" s="1"/>
  <c r="F196" i="1" s="1"/>
  <c r="D197" i="1" a="1"/>
  <c r="D197" i="1" s="1"/>
  <c r="D198" i="1" a="1"/>
  <c r="D198" i="1" s="1"/>
  <c r="D199" i="1" a="1"/>
  <c r="D199" i="1" s="1"/>
  <c r="D200" i="1" a="1"/>
  <c r="D200" i="1" s="1"/>
  <c r="D201" i="1" a="1"/>
  <c r="D201" i="1" s="1"/>
  <c r="D202" i="1" a="1"/>
  <c r="D202" i="1" s="1"/>
  <c r="F202" i="1" s="1"/>
  <c r="D203" i="1" a="1"/>
  <c r="D203" i="1" s="1"/>
  <c r="D204" i="1" a="1"/>
  <c r="D204" i="1" s="1"/>
  <c r="F204" i="1" s="1"/>
  <c r="D205" i="1" a="1"/>
  <c r="D205" i="1"/>
  <c r="F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E212" i="1" s="1"/>
  <c r="D213" i="1" a="1"/>
  <c r="D213" i="1" s="1"/>
  <c r="E213" i="1" s="1"/>
  <c r="D214" i="1" a="1"/>
  <c r="D214" i="1" s="1"/>
  <c r="E214" i="1" s="1"/>
  <c r="D215" i="1" a="1"/>
  <c r="D215" i="1" s="1"/>
  <c r="E215" i="1" s="1"/>
  <c r="D216" i="1" a="1"/>
  <c r="D216" i="1" s="1"/>
  <c r="F216" i="1" s="1"/>
  <c r="D217" i="1" a="1"/>
  <c r="D217" i="1" s="1"/>
  <c r="F217" i="1" s="1"/>
  <c r="D218" i="1" a="1"/>
  <c r="D218" i="1" s="1"/>
  <c r="F218" i="1" s="1"/>
  <c r="D219" i="1" a="1"/>
  <c r="D219" i="1" s="1"/>
  <c r="F219" i="1" s="1"/>
  <c r="D220" i="1" a="1"/>
  <c r="D220" i="1" s="1"/>
  <c r="F220" i="1" s="1"/>
  <c r="D221" i="1" a="1"/>
  <c r="D221" i="1" s="1"/>
  <c r="F221" i="1" s="1"/>
  <c r="D222" i="1" a="1"/>
  <c r="D222" i="1" s="1"/>
  <c r="D223" i="1" a="1"/>
  <c r="D223" i="1" s="1"/>
  <c r="D224" i="1" a="1"/>
  <c r="D224" i="1" s="1"/>
  <c r="D225" i="1" a="1"/>
  <c r="D225" i="1" s="1"/>
  <c r="D226" i="1" a="1"/>
  <c r="D226" i="1" s="1"/>
  <c r="D227" i="1" a="1"/>
  <c r="D227" i="1" s="1"/>
  <c r="D228" i="1" a="1"/>
  <c r="D228" i="1" s="1"/>
  <c r="D229" i="1" a="1"/>
  <c r="D229" i="1" s="1"/>
  <c r="F229" i="1" s="1"/>
  <c r="D230" i="1" a="1"/>
  <c r="D230" i="1" s="1"/>
  <c r="D231" i="1" a="1"/>
  <c r="D231" i="1" s="1"/>
  <c r="F231" i="1" s="1"/>
  <c r="D232" i="1" a="1"/>
  <c r="D232" i="1" s="1"/>
  <c r="F232" i="1" s="1"/>
  <c r="D233" i="1" a="1"/>
  <c r="D233" i="1" s="1"/>
  <c r="F233" i="1" s="1"/>
  <c r="D234" i="1" a="1"/>
  <c r="D234" i="1" s="1"/>
  <c r="D235" i="1" a="1"/>
  <c r="D235" i="1" s="1"/>
  <c r="F235" i="1" s="1"/>
  <c r="D236" i="1" a="1"/>
  <c r="D236" i="1" s="1"/>
  <c r="E236" i="1" s="1"/>
  <c r="D237" i="1" a="1"/>
  <c r="D237" i="1" s="1"/>
  <c r="E237" i="1" s="1"/>
  <c r="D238" i="1" a="1"/>
  <c r="D238" i="1" s="1"/>
  <c r="E238" i="1" s="1"/>
  <c r="D239" i="1" a="1"/>
  <c r="D239" i="1" s="1"/>
  <c r="E239" i="1" s="1"/>
  <c r="D240" i="1" a="1"/>
  <c r="D240" i="1" s="1"/>
  <c r="D241" i="1" a="1"/>
  <c r="D241" i="1" s="1"/>
  <c r="F241" i="1" s="1"/>
  <c r="D242" i="1" a="1"/>
  <c r="D242" i="1" s="1"/>
  <c r="D243" i="1" a="1"/>
  <c r="D243" i="1" s="1"/>
  <c r="F243" i="1" s="1"/>
  <c r="D244" i="1" a="1"/>
  <c r="D244" i="1" s="1"/>
  <c r="F244" i="1" s="1"/>
  <c r="D245" i="1" a="1"/>
  <c r="D245" i="1" s="1"/>
  <c r="F245" i="1" s="1"/>
  <c r="D246" i="1" a="1"/>
  <c r="D246" i="1" s="1"/>
  <c r="D247" i="1" a="1"/>
  <c r="D247" i="1" s="1"/>
  <c r="F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F256" i="1" s="1"/>
  <c r="D257" i="1" a="1"/>
  <c r="D257" i="1" s="1"/>
  <c r="F257" i="1" s="1"/>
  <c r="D258" i="1" a="1"/>
  <c r="D258" i="1" s="1"/>
  <c r="D259" i="1" a="1"/>
  <c r="D259" i="1" s="1"/>
  <c r="F259" i="1" s="1"/>
  <c r="D260" i="1" a="1"/>
  <c r="D260" i="1" s="1"/>
  <c r="F260" i="1" s="1"/>
  <c r="D261" i="1" a="1"/>
  <c r="D261" i="1" s="1"/>
  <c r="D262" i="1" a="1"/>
  <c r="D262" i="1" s="1"/>
  <c r="D263" i="1" a="1"/>
  <c r="D263" i="1" s="1"/>
  <c r="D264" i="1" a="1"/>
  <c r="D264" i="1" s="1"/>
  <c r="E264" i="1" s="1"/>
  <c r="D265" i="1" a="1"/>
  <c r="D265" i="1" s="1"/>
  <c r="E265" i="1" s="1"/>
  <c r="D266" i="1" a="1"/>
  <c r="D266" i="1" s="1"/>
  <c r="E266" i="1" s="1"/>
  <c r="D267" i="1" a="1"/>
  <c r="D267" i="1" s="1"/>
  <c r="E267" i="1" s="1"/>
  <c r="D268" i="1" a="1"/>
  <c r="D268" i="1" s="1"/>
  <c r="F268" i="1" s="1"/>
  <c r="D269" i="1" a="1"/>
  <c r="D269" i="1" s="1"/>
  <c r="F269" i="1" s="1"/>
  <c r="D270" i="1" a="1"/>
  <c r="D270" i="1" s="1"/>
  <c r="D271" i="1" a="1"/>
  <c r="D271" i="1" s="1"/>
  <c r="F271" i="1" s="1"/>
  <c r="D272" i="1" a="1"/>
  <c r="D272" i="1" s="1"/>
  <c r="F272" i="1" s="1"/>
  <c r="D273" i="1" a="1"/>
  <c r="D273" i="1" s="1"/>
  <c r="D274" i="1" a="1"/>
  <c r="D274" i="1" s="1"/>
  <c r="D275" i="1" a="1"/>
  <c r="D275" i="1" s="1"/>
  <c r="D276" i="1" a="1"/>
  <c r="D276" i="1" s="1"/>
  <c r="D277" i="1" a="1"/>
  <c r="D277" i="1" s="1"/>
  <c r="F277" i="1" s="1"/>
  <c r="D278" i="1" a="1"/>
  <c r="D278" i="1" s="1"/>
  <c r="D279" i="1" a="1"/>
  <c r="D279" i="1" s="1"/>
  <c r="F279" i="1" s="1"/>
  <c r="D280" i="1" a="1"/>
  <c r="D280" i="1" s="1"/>
  <c r="F280" i="1" s="1"/>
  <c r="D281" i="1" a="1"/>
  <c r="D281" i="1" s="1"/>
  <c r="F281" i="1" s="1"/>
  <c r="D282" i="1" a="1"/>
  <c r="D282" i="1" s="1"/>
  <c r="D283" i="1" a="1"/>
  <c r="D283" i="1" s="1"/>
  <c r="F283" i="1" s="1"/>
  <c r="D284" i="1" a="1"/>
  <c r="D284" i="1" s="1"/>
  <c r="F284" i="1" s="1"/>
  <c r="D285" i="1" a="1"/>
  <c r="D285" i="1" s="1"/>
  <c r="E285" i="1" s="1"/>
  <c r="D286" i="1" a="1"/>
  <c r="D286" i="1" s="1"/>
  <c r="D287" i="1" a="1"/>
  <c r="D287" i="1" s="1"/>
  <c r="E287" i="1" s="1"/>
  <c r="D288" i="1" a="1"/>
  <c r="D288" i="1" s="1"/>
  <c r="E288" i="1" s="1"/>
  <c r="D289" i="1" a="1"/>
  <c r="D289" i="1" s="1"/>
  <c r="F289" i="1" s="1"/>
  <c r="D290" i="1" a="1"/>
  <c r="D290" i="1" s="1"/>
  <c r="E290" i="1" s="1"/>
  <c r="D291" i="1" a="1"/>
  <c r="D291" i="1" s="1"/>
  <c r="E291" i="1" s="1"/>
  <c r="D292" i="1" a="1"/>
  <c r="D292" i="1" s="1"/>
  <c r="F292" i="1" s="1"/>
  <c r="D293" i="1" a="1"/>
  <c r="D293" i="1" s="1"/>
  <c r="F293" i="1" s="1"/>
  <c r="D294" i="1" a="1"/>
  <c r="D294" i="1" s="1"/>
  <c r="F294" i="1" s="1"/>
  <c r="D295" i="1" a="1"/>
  <c r="D295" i="1" s="1"/>
  <c r="F295" i="1" s="1"/>
  <c r="D296" i="1" a="1"/>
  <c r="D296" i="1" s="1"/>
  <c r="F296" i="1" s="1"/>
  <c r="D297" i="1" a="1"/>
  <c r="D297" i="1" s="1"/>
  <c r="D298" i="1" a="1"/>
  <c r="D298" i="1" s="1"/>
  <c r="D299" i="1" a="1"/>
  <c r="D299" i="1" s="1"/>
  <c r="D300" i="1" a="1"/>
  <c r="D300" i="1" s="1"/>
  <c r="E300" i="1" s="1"/>
  <c r="D301" i="1" a="1"/>
  <c r="D301" i="1" s="1"/>
  <c r="F301" i="1" s="1"/>
  <c r="D302" i="1" a="1"/>
  <c r="D302" i="1" s="1"/>
  <c r="D303" i="1" a="1"/>
  <c r="D303" i="1" s="1"/>
  <c r="F303" i="1" s="1"/>
  <c r="D304" i="1" a="1"/>
  <c r="D304" i="1" s="1"/>
  <c r="F304" i="1" s="1"/>
  <c r="D305" i="1" a="1"/>
  <c r="D305" i="1" s="1"/>
  <c r="F305" i="1" s="1"/>
  <c r="D306" i="1" a="1"/>
  <c r="D306" i="1" s="1"/>
  <c r="D307" i="1" a="1"/>
  <c r="D307" i="1" s="1"/>
  <c r="F307" i="1" s="1"/>
  <c r="D308" i="1" a="1"/>
  <c r="D308" i="1" s="1"/>
  <c r="F308" i="1" s="1"/>
  <c r="D309" i="1" a="1"/>
  <c r="D309" i="1" s="1"/>
  <c r="E309" i="1" s="1"/>
  <c r="D310" i="1" a="1"/>
  <c r="D310" i="1" s="1"/>
  <c r="D311" i="1" a="1"/>
  <c r="D311" i="1" s="1"/>
  <c r="E311" i="1" s="1"/>
  <c r="D312" i="1" a="1"/>
  <c r="D312" i="1" s="1"/>
  <c r="D313" i="1" a="1"/>
  <c r="D313" i="1" s="1"/>
  <c r="F313" i="1" s="1"/>
  <c r="D314" i="1" a="1"/>
  <c r="D314" i="1" s="1"/>
  <c r="D315" i="1" a="1"/>
  <c r="D315" i="1" s="1"/>
  <c r="F315" i="1" s="1"/>
  <c r="D316" i="1" a="1"/>
  <c r="D316" i="1" s="1"/>
  <c r="F316" i="1" s="1"/>
  <c r="D317" i="1" a="1"/>
  <c r="D317" i="1" s="1"/>
  <c r="F317" i="1" s="1"/>
  <c r="D318" i="1" a="1"/>
  <c r="D318" i="1" s="1"/>
  <c r="D319" i="1" a="1"/>
  <c r="D319" i="1" s="1"/>
  <c r="F319" i="1" s="1"/>
  <c r="D320" i="1" a="1"/>
  <c r="D320" i="1" s="1"/>
  <c r="F320" i="1" s="1"/>
  <c r="D321" i="1" a="1"/>
  <c r="D321" i="1" s="1"/>
  <c r="E321" i="1" s="1"/>
  <c r="D322" i="1" a="1"/>
  <c r="D322" i="1" s="1"/>
  <c r="E322" i="1" s="1"/>
  <c r="D323" i="1" a="1"/>
  <c r="D323" i="1" s="1"/>
  <c r="E323" i="1" s="1"/>
  <c r="D324" i="1" a="1"/>
  <c r="D324" i="1" s="1"/>
  <c r="E324" i="1" s="1"/>
  <c r="D325" i="1" a="1"/>
  <c r="D325" i="1" s="1"/>
  <c r="F325" i="1" s="1"/>
  <c r="D326" i="1" a="1"/>
  <c r="D326" i="1"/>
  <c r="D327" i="1" a="1"/>
  <c r="D327" i="1" s="1"/>
  <c r="F327" i="1" s="1"/>
  <c r="D328" i="1" a="1"/>
  <c r="D328" i="1" s="1"/>
  <c r="F328" i="1" s="1"/>
  <c r="D329" i="1" a="1"/>
  <c r="D329" i="1" s="1"/>
  <c r="D330" i="1" a="1"/>
  <c r="D330" i="1" s="1"/>
  <c r="F330" i="1" s="1"/>
  <c r="D331" i="1" a="1"/>
  <c r="D331" i="1" s="1"/>
  <c r="F331" i="1" s="1"/>
  <c r="D332" i="1" a="1"/>
  <c r="D332" i="1" s="1"/>
  <c r="F332" i="1" s="1"/>
  <c r="D333" i="1" a="1"/>
  <c r="D333" i="1" s="1"/>
  <c r="D334" i="1" a="1"/>
  <c r="D334" i="1" s="1"/>
  <c r="D335" i="1" a="1"/>
  <c r="D335" i="1" s="1"/>
  <c r="D336" i="1" a="1"/>
  <c r="D336" i="1" s="1"/>
  <c r="D337" i="1" a="1"/>
  <c r="D337" i="1" s="1"/>
  <c r="F337" i="1" s="1"/>
  <c r="D338" i="1" a="1"/>
  <c r="D338" i="1" s="1"/>
  <c r="D339" i="1" a="1"/>
  <c r="D339" i="1" s="1"/>
  <c r="E339" i="1" s="1"/>
  <c r="D340" i="1" a="1"/>
  <c r="D340" i="1" s="1"/>
  <c r="D341" i="1" a="1"/>
  <c r="D341" i="1" s="1"/>
  <c r="D342" i="1" a="1"/>
  <c r="D342" i="1" s="1"/>
  <c r="F342" i="1" s="1"/>
  <c r="D343" i="1" a="1"/>
  <c r="D343" i="1" s="1"/>
  <c r="F343" i="1" s="1"/>
  <c r="D344" i="1" a="1"/>
  <c r="D344" i="1" s="1"/>
  <c r="E344" i="1" s="1"/>
  <c r="D345" i="1" a="1"/>
  <c r="D345" i="1" s="1"/>
  <c r="E345" i="1" s="1"/>
  <c r="D346" i="1" a="1"/>
  <c r="D346" i="1" s="1"/>
  <c r="E346" i="1" s="1"/>
  <c r="D347" i="1" a="1"/>
  <c r="D347" i="1" s="1"/>
  <c r="E347" i="1" s="1"/>
  <c r="D348" i="1" a="1"/>
  <c r="D348" i="1" s="1"/>
  <c r="D349" i="1" a="1"/>
  <c r="D349" i="1" s="1"/>
  <c r="F349" i="1" s="1"/>
  <c r="D350" i="1" a="1"/>
  <c r="D350" i="1" s="1"/>
  <c r="D351" i="1" a="1"/>
  <c r="D351" i="1" s="1"/>
  <c r="D352" i="1" a="1"/>
  <c r="D352" i="1" s="1"/>
  <c r="F352" i="1" s="1"/>
  <c r="D353" i="1" a="1"/>
  <c r="D353" i="1" s="1"/>
  <c r="F353" i="1" s="1"/>
  <c r="D354" i="1" a="1"/>
  <c r="D354" i="1" s="1"/>
  <c r="F354" i="1" s="1"/>
  <c r="D355" i="1" a="1"/>
  <c r="D355" i="1" s="1"/>
  <c r="F355" i="1" s="1"/>
  <c r="D356" i="1" a="1"/>
  <c r="D356" i="1" s="1"/>
  <c r="E356" i="1" s="1"/>
  <c r="D357" i="1" a="1"/>
  <c r="D357" i="1" s="1"/>
  <c r="D358" i="1" a="1"/>
  <c r="D358" i="1" s="1"/>
  <c r="D359" i="1" a="1"/>
  <c r="D359" i="1" s="1"/>
  <c r="D360" i="1" a="1"/>
  <c r="D360" i="1" s="1"/>
  <c r="D361" i="1" a="1"/>
  <c r="D361" i="1" s="1"/>
  <c r="F361" i="1" s="1"/>
  <c r="D362" i="1" a="1"/>
  <c r="D362" i="1" s="1"/>
  <c r="D363" i="1" a="1"/>
  <c r="D363" i="1" s="1"/>
  <c r="D364" i="1" a="1"/>
  <c r="D364" i="1" s="1"/>
  <c r="F364" i="1" s="1"/>
  <c r="D365" i="1" a="1"/>
  <c r="D365" i="1" s="1"/>
  <c r="F365" i="1" s="1"/>
  <c r="D366" i="1" a="1"/>
  <c r="D366" i="1" s="1"/>
  <c r="F366" i="1" s="1"/>
  <c r="D367" i="1" a="1"/>
  <c r="D367" i="1" s="1"/>
  <c r="F367" i="1" s="1"/>
  <c r="D368" i="1" a="1"/>
  <c r="D368" i="1" s="1"/>
  <c r="F368" i="1" s="1"/>
  <c r="D369" i="1" a="1"/>
  <c r="D369" i="1" s="1"/>
  <c r="D370" i="1" a="1"/>
  <c r="D370" i="1" s="1"/>
  <c r="D371" i="1" a="1"/>
  <c r="D371" i="1" s="1"/>
  <c r="D372" i="1" a="1"/>
  <c r="D372" i="1" s="1"/>
  <c r="E372" i="1" s="1"/>
  <c r="D373" i="1" a="1"/>
  <c r="D373" i="1" s="1"/>
  <c r="E373" i="1" s="1"/>
  <c r="D374" i="1" a="1"/>
  <c r="D374" i="1" s="1"/>
  <c r="E374" i="1" s="1"/>
  <c r="D375" i="1" a="1"/>
  <c r="D375" i="1" s="1"/>
  <c r="D376" i="1" a="1"/>
  <c r="D376" i="1" s="1"/>
  <c r="F376" i="1" s="1"/>
  <c r="D377" i="1" a="1"/>
  <c r="D377" i="1" s="1"/>
  <c r="F377" i="1" s="1"/>
  <c r="D378" i="1" a="1"/>
  <c r="D378" i="1" s="1"/>
  <c r="F378" i="1" s="1"/>
  <c r="D379" i="1" a="1"/>
  <c r="D379" i="1" s="1"/>
  <c r="F379" i="1" s="1"/>
  <c r="D380" i="1" a="1"/>
  <c r="D380" i="1" s="1"/>
  <c r="E380" i="1" s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F385" i="1" s="1"/>
  <c r="D386" i="1" a="1"/>
  <c r="D386" i="1" s="1"/>
  <c r="D387" i="1" a="1"/>
  <c r="D387" i="1" s="1"/>
  <c r="D388" i="1" a="1"/>
  <c r="D388" i="1" s="1"/>
  <c r="F388" i="1" s="1"/>
  <c r="D389" i="1" a="1"/>
  <c r="D389" i="1" s="1"/>
  <c r="F389" i="1" s="1"/>
  <c r="D390" i="1" a="1"/>
  <c r="D390" i="1" s="1"/>
  <c r="F390" i="1" s="1"/>
  <c r="D391" i="1" a="1"/>
  <c r="D391" i="1" s="1"/>
  <c r="F391" i="1" s="1"/>
  <c r="D392" i="1" a="1"/>
  <c r="D392" i="1" s="1"/>
  <c r="F392" i="1" s="1"/>
  <c r="D393" i="1" a="1"/>
  <c r="D393" i="1" s="1"/>
  <c r="E393" i="1" s="1"/>
  <c r="D394" i="1" a="1"/>
  <c r="D394" i="1" s="1"/>
  <c r="D395" i="1" a="1"/>
  <c r="D395" i="1" s="1"/>
  <c r="E395" i="1" s="1"/>
  <c r="D396" i="1" a="1"/>
  <c r="D396" i="1" s="1"/>
  <c r="E396" i="1" s="1"/>
  <c r="D397" i="1" a="1"/>
  <c r="D397" i="1" s="1"/>
  <c r="D398" i="1" a="1"/>
  <c r="D398" i="1" s="1"/>
  <c r="E398" i="1" s="1"/>
  <c r="D399" i="1" a="1"/>
  <c r="D399" i="1" s="1"/>
  <c r="F399" i="1" s="1"/>
  <c r="D400" i="1" a="1"/>
  <c r="D400" i="1" s="1"/>
  <c r="F400" i="1" s="1"/>
  <c r="D401" i="1" a="1"/>
  <c r="D401" i="1" s="1"/>
  <c r="F401" i="1" s="1"/>
  <c r="D402" i="1" a="1"/>
  <c r="D402" i="1" s="1"/>
  <c r="F402" i="1" s="1"/>
  <c r="D403" i="1" a="1"/>
  <c r="D403" i="1" s="1"/>
  <c r="F403" i="1" s="1"/>
  <c r="D404" i="1" a="1"/>
  <c r="D404" i="1" s="1"/>
  <c r="F404" i="1" s="1"/>
  <c r="D405" i="1" a="1"/>
  <c r="D405" i="1" s="1"/>
  <c r="D406" i="1" a="1"/>
  <c r="D406" i="1" s="1"/>
  <c r="D407" i="1" a="1"/>
  <c r="D407" i="1" s="1"/>
  <c r="D408" i="1" a="1"/>
  <c r="D408" i="1" s="1"/>
  <c r="E408" i="1" s="1"/>
  <c r="D409" i="1" a="1"/>
  <c r="D409" i="1" s="1"/>
  <c r="F409" i="1" s="1"/>
  <c r="D410" i="1" a="1"/>
  <c r="D410" i="1" s="1"/>
  <c r="D411" i="1" a="1"/>
  <c r="D411" i="1" s="1"/>
  <c r="D412" i="1" a="1"/>
  <c r="D412" i="1" s="1"/>
  <c r="F412" i="1" s="1"/>
  <c r="D413" i="1" a="1"/>
  <c r="D413" i="1" s="1"/>
  <c r="F413" i="1" s="1"/>
  <c r="D414" i="1" a="1"/>
  <c r="D414" i="1" s="1"/>
  <c r="F414" i="1" s="1"/>
  <c r="D415" i="1" a="1"/>
  <c r="D415" i="1" s="1"/>
  <c r="F415" i="1" s="1"/>
  <c r="D416" i="1" a="1"/>
  <c r="D416" i="1" s="1"/>
  <c r="F416" i="1" s="1"/>
  <c r="D417" i="1" a="1"/>
  <c r="D417" i="1" s="1"/>
  <c r="E417" i="1" s="1"/>
  <c r="D418" i="1" a="1"/>
  <c r="D418" i="1" s="1"/>
  <c r="D419" i="1" a="1"/>
  <c r="D419" i="1" s="1"/>
  <c r="E419" i="1" s="1"/>
  <c r="D420" i="1" a="1"/>
  <c r="D420" i="1" s="1"/>
  <c r="D421" i="1" a="1"/>
  <c r="D421" i="1" s="1"/>
  <c r="F421" i="1" s="1"/>
  <c r="D422" i="1" a="1"/>
  <c r="D422" i="1" s="1"/>
  <c r="D423" i="1" a="1"/>
  <c r="D423" i="1" s="1"/>
  <c r="D424" i="1" a="1"/>
  <c r="D424" i="1" s="1"/>
  <c r="F424" i="1" s="1"/>
  <c r="D425" i="1" a="1"/>
  <c r="D425" i="1" s="1"/>
  <c r="F425" i="1" s="1"/>
  <c r="D426" i="1" a="1"/>
  <c r="D426" i="1" s="1"/>
  <c r="F426" i="1" s="1"/>
  <c r="D427" i="1" a="1"/>
  <c r="D427" i="1" s="1"/>
  <c r="F427" i="1" s="1"/>
  <c r="D428" i="1" a="1"/>
  <c r="D428" i="1" s="1"/>
  <c r="F428" i="1" s="1"/>
  <c r="D429" i="1" a="1"/>
  <c r="D429" i="1" s="1"/>
  <c r="E429" i="1" s="1"/>
  <c r="D430" i="1" a="1"/>
  <c r="D430" i="1" s="1"/>
  <c r="E430" i="1" s="1"/>
  <c r="D431" i="1" a="1"/>
  <c r="D431" i="1" s="1"/>
  <c r="E431" i="1" s="1"/>
  <c r="D432" i="1" a="1"/>
  <c r="D432" i="1" s="1"/>
  <c r="E432" i="1" s="1"/>
  <c r="D433" i="1" a="1"/>
  <c r="D433" i="1" s="1"/>
  <c r="F433" i="1" s="1"/>
  <c r="D434" i="1" a="1"/>
  <c r="D434" i="1" s="1"/>
  <c r="D435" i="1" a="1"/>
  <c r="D435" i="1" s="1"/>
  <c r="D436" i="1" a="1"/>
  <c r="D436" i="1" s="1"/>
  <c r="F436" i="1" s="1"/>
  <c r="D437" i="1" a="1"/>
  <c r="D437" i="1" s="1"/>
  <c r="F437" i="1" s="1"/>
  <c r="D438" i="1" a="1"/>
  <c r="D438" i="1" s="1"/>
  <c r="F438" i="1" s="1"/>
  <c r="D439" i="1" a="1"/>
  <c r="D439" i="1" s="1"/>
  <c r="F439" i="1" s="1"/>
  <c r="D440" i="1" a="1"/>
  <c r="D440" i="1" s="1"/>
  <c r="F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F445" i="1" s="1"/>
  <c r="D446" i="1" a="1"/>
  <c r="D446" i="1" s="1"/>
  <c r="D447" i="1" a="1"/>
  <c r="D447" i="1" s="1"/>
  <c r="D448" i="1" a="1"/>
  <c r="D448" i="1" s="1"/>
  <c r="F448" i="1" s="1"/>
  <c r="D449" i="1" a="1"/>
  <c r="D449" i="1" s="1"/>
  <c r="F449" i="1" s="1"/>
  <c r="D450" i="1" a="1"/>
  <c r="D450" i="1" s="1"/>
  <c r="F450" i="1" s="1"/>
  <c r="D451" i="1" a="1"/>
  <c r="D451" i="1" s="1"/>
  <c r="F451" i="1" s="1"/>
  <c r="D452" i="1" a="1"/>
  <c r="D452" i="1" s="1"/>
  <c r="E452" i="1" s="1"/>
  <c r="D453" i="1" a="1"/>
  <c r="D453" i="1" s="1"/>
  <c r="E453" i="1" s="1"/>
  <c r="D454" i="1" a="1"/>
  <c r="D454" i="1" s="1"/>
  <c r="E454" i="1" s="1"/>
  <c r="D455" i="1" a="1"/>
  <c r="D455" i="1" s="1"/>
  <c r="E455" i="1" s="1"/>
  <c r="D456" i="1" a="1"/>
  <c r="D456" i="1" s="1"/>
  <c r="D457" i="1" a="1"/>
  <c r="D457" i="1" s="1"/>
  <c r="F457" i="1" s="1"/>
  <c r="D458" i="1" a="1"/>
  <c r="D458" i="1" s="1"/>
  <c r="D459" i="1" a="1"/>
  <c r="D459" i="1" s="1"/>
  <c r="F459" i="1" s="1"/>
  <c r="D460" i="1" a="1"/>
  <c r="D460" i="1" s="1"/>
  <c r="F460" i="1" s="1"/>
  <c r="D461" i="1" a="1"/>
  <c r="D461" i="1" s="1"/>
  <c r="F461" i="1" s="1"/>
  <c r="D462" i="1" a="1"/>
  <c r="D462" i="1" s="1"/>
  <c r="F462" i="1" s="1"/>
  <c r="D463" i="1" a="1"/>
  <c r="D463" i="1" s="1"/>
  <c r="F463" i="1" s="1"/>
  <c r="D464" i="1" a="1"/>
  <c r="D464" i="1" s="1"/>
  <c r="F464" i="1" s="1"/>
  <c r="D465" i="1" a="1"/>
  <c r="D465" i="1" s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F471" i="1" s="1"/>
  <c r="D472" i="1" a="1"/>
  <c r="D472" i="1" s="1"/>
  <c r="F472" i="1" s="1"/>
  <c r="D473" i="1" a="1"/>
  <c r="D473" i="1" s="1"/>
  <c r="F473" i="1" s="1"/>
  <c r="D474" i="1" a="1"/>
  <c r="D474" i="1" s="1"/>
  <c r="F474" i="1" s="1"/>
  <c r="D475" i="1" a="1"/>
  <c r="D475" i="1" s="1"/>
  <c r="F475" i="1" s="1"/>
  <c r="D476" i="1" a="1"/>
  <c r="D476" i="1"/>
  <c r="F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F481" i="1" s="1"/>
  <c r="D482" i="1" a="1"/>
  <c r="D482" i="1" s="1"/>
  <c r="E482" i="1" s="1"/>
  <c r="D483" i="1" a="1"/>
  <c r="D483" i="1" s="1"/>
  <c r="E483" i="1" s="1"/>
  <c r="D484" i="1" a="1"/>
  <c r="D484" i="1" s="1"/>
  <c r="F484" i="1" s="1"/>
  <c r="D485" i="1" a="1"/>
  <c r="D485" i="1" s="1"/>
  <c r="F485" i="1" s="1"/>
  <c r="D486" i="1" a="1"/>
  <c r="D486" i="1" s="1"/>
  <c r="F486" i="1" s="1"/>
  <c r="D487" i="1" a="1"/>
  <c r="D487" i="1" s="1"/>
  <c r="F487" i="1" s="1"/>
  <c r="D488" i="1" a="1"/>
  <c r="D488" i="1" s="1"/>
  <c r="E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F495" i="1" s="1"/>
  <c r="D496" i="1" a="1"/>
  <c r="D496" i="1" s="1"/>
  <c r="F496" i="1" s="1"/>
  <c r="D497" i="1" a="1"/>
  <c r="D497" i="1" s="1"/>
  <c r="F497" i="1" s="1"/>
  <c r="D498" i="1" a="1"/>
  <c r="D498" i="1" s="1"/>
  <c r="F498" i="1" s="1"/>
  <c r="D499" i="1" a="1"/>
  <c r="D499" i="1" s="1"/>
  <c r="F499" i="1" s="1"/>
  <c r="D500" i="1" a="1"/>
  <c r="D500" i="1" s="1"/>
  <c r="F500" i="1" s="1"/>
  <c r="D501" i="1" a="1"/>
  <c r="D501" i="1" s="1"/>
  <c r="E501" i="1" s="1"/>
  <c r="D502" i="1" a="1"/>
  <c r="D502" i="1" s="1"/>
  <c r="D503" i="1" a="1"/>
  <c r="D503" i="1" s="1"/>
  <c r="E503" i="1" s="1"/>
  <c r="D504" i="1" a="1"/>
  <c r="D504" i="1" s="1"/>
  <c r="E504" i="1" s="1"/>
  <c r="D505" i="1" a="1"/>
  <c r="D505" i="1" s="1"/>
  <c r="D506" i="1" a="1"/>
  <c r="D506" i="1" s="1"/>
  <c r="E506" i="1" s="1"/>
  <c r="D507" i="1" a="1"/>
  <c r="D507" i="1" s="1"/>
  <c r="E507" i="1" s="1"/>
  <c r="D508" i="1" a="1"/>
  <c r="D508" i="1" s="1"/>
  <c r="F508" i="1" s="1"/>
  <c r="D509" i="1" a="1"/>
  <c r="D509" i="1" s="1"/>
  <c r="F509" i="1" s="1"/>
  <c r="D510" i="1" a="1"/>
  <c r="D510" i="1" s="1"/>
  <c r="F510" i="1" s="1"/>
  <c r="D511" i="1" a="1"/>
  <c r="D511" i="1" s="1"/>
  <c r="F511" i="1" s="1"/>
  <c r="D512" i="1" a="1"/>
  <c r="D512" i="1" s="1"/>
  <c r="F512" i="1" s="1"/>
  <c r="D513" i="1" a="1"/>
  <c r="D513" i="1" s="1"/>
  <c r="D514" i="1" a="1"/>
  <c r="D514" i="1" s="1"/>
  <c r="D515" i="1" a="1"/>
  <c r="D515" i="1" s="1"/>
  <c r="D516" i="1" a="1"/>
  <c r="D516" i="1" s="1"/>
  <c r="D517" i="1" a="1"/>
  <c r="D517" i="1" s="1"/>
  <c r="D518" i="1" a="1"/>
  <c r="D518" i="1" s="1"/>
  <c r="D519" i="1" a="1"/>
  <c r="D519" i="1" s="1"/>
  <c r="F519" i="1" s="1"/>
  <c r="D520" i="1" a="1"/>
  <c r="D520" i="1" s="1"/>
  <c r="F520" i="1" s="1"/>
  <c r="D521" i="1" a="1"/>
  <c r="D521" i="1" s="1"/>
  <c r="F521" i="1" s="1"/>
  <c r="D522" i="1" a="1"/>
  <c r="D522" i="1" s="1"/>
  <c r="F522" i="1" s="1"/>
  <c r="D523" i="1" a="1"/>
  <c r="D523" i="1" s="1"/>
  <c r="F523" i="1" s="1"/>
  <c r="D524" i="1" a="1"/>
  <c r="D524" i="1" s="1"/>
  <c r="F524" i="1" s="1"/>
  <c r="D525" i="1" a="1"/>
  <c r="D525" i="1" s="1"/>
  <c r="E525" i="1" s="1"/>
  <c r="D526" i="1" a="1"/>
  <c r="D526" i="1" s="1"/>
  <c r="D527" i="1" a="1"/>
  <c r="D527" i="1" s="1"/>
  <c r="E527" i="1" s="1"/>
  <c r="D528" i="1" a="1"/>
  <c r="D528" i="1"/>
  <c r="D529" i="1" a="1"/>
  <c r="D529" i="1" s="1"/>
  <c r="F529" i="1" s="1"/>
  <c r="D530" i="1" a="1"/>
  <c r="D530" i="1" s="1"/>
  <c r="D531" i="1" a="1"/>
  <c r="D531" i="1" s="1"/>
  <c r="F531" i="1" s="1"/>
  <c r="D532" i="1" a="1"/>
  <c r="D532" i="1" s="1"/>
  <c r="F532" i="1" s="1"/>
  <c r="D533" i="1" a="1"/>
  <c r="D533" i="1" s="1"/>
  <c r="F533" i="1" s="1"/>
  <c r="D534" i="1" a="1"/>
  <c r="D534" i="1" s="1"/>
  <c r="F534" i="1" s="1"/>
  <c r="D535" i="1" a="1"/>
  <c r="D535" i="1" s="1"/>
  <c r="F535" i="1" s="1"/>
  <c r="D536" i="1" a="1"/>
  <c r="D536" i="1" s="1"/>
  <c r="D537" i="1" a="1"/>
  <c r="D537" i="1" s="1"/>
  <c r="E537" i="1" s="1"/>
  <c r="D538" i="1" a="1"/>
  <c r="D538" i="1" s="1"/>
  <c r="E538" i="1" s="1"/>
  <c r="D539" i="1" a="1"/>
  <c r="D539" i="1" s="1"/>
  <c r="E539" i="1" s="1"/>
  <c r="D540" i="1" a="1"/>
  <c r="D540" i="1" s="1"/>
  <c r="D541" i="1" a="1"/>
  <c r="D541" i="1" s="1"/>
  <c r="F541" i="1" s="1"/>
  <c r="D542" i="1" a="1"/>
  <c r="D542" i="1" s="1"/>
  <c r="D543" i="1" a="1"/>
  <c r="D543" i="1" s="1"/>
  <c r="F543" i="1" s="1"/>
  <c r="D544" i="1" a="1"/>
  <c r="D544" i="1" s="1"/>
  <c r="F544" i="1" s="1"/>
  <c r="D545" i="1" a="1"/>
  <c r="D545" i="1" s="1"/>
  <c r="F545" i="1" s="1"/>
  <c r="D546" i="1" a="1"/>
  <c r="D546" i="1" s="1"/>
  <c r="F546" i="1" s="1"/>
  <c r="D547" i="1" a="1"/>
  <c r="D547" i="1" s="1"/>
  <c r="F547" i="1" s="1"/>
  <c r="D548" i="1" a="1"/>
  <c r="D548" i="1" s="1"/>
  <c r="F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 s="1"/>
  <c r="F553" i="1" s="1"/>
  <c r="D554" i="1" a="1"/>
  <c r="D554" i="1" s="1"/>
  <c r="D555" i="1" a="1"/>
  <c r="D555" i="1" s="1"/>
  <c r="F555" i="1" s="1"/>
  <c r="D556" i="1" a="1"/>
  <c r="D556" i="1" s="1"/>
  <c r="F556" i="1" s="1"/>
  <c r="D557" i="1" a="1"/>
  <c r="D557" i="1" s="1"/>
  <c r="F557" i="1" s="1"/>
  <c r="D558" i="1" a="1"/>
  <c r="D558" i="1" s="1"/>
  <c r="F558" i="1" s="1"/>
  <c r="D559" i="1" a="1"/>
  <c r="D559" i="1" s="1"/>
  <c r="F559" i="1" s="1"/>
  <c r="D560" i="1" a="1"/>
  <c r="D560" i="1" s="1"/>
  <c r="F560" i="1" s="1"/>
  <c r="D561" i="1" a="1"/>
  <c r="D561" i="1" s="1"/>
  <c r="E561" i="1" s="1"/>
  <c r="D562" i="1" a="1"/>
  <c r="D562" i="1" s="1"/>
  <c r="E562" i="1" s="1"/>
  <c r="D563" i="1" a="1"/>
  <c r="D563" i="1" s="1"/>
  <c r="D564" i="1" a="1"/>
  <c r="D564" i="1" s="1"/>
  <c r="D565" i="1" a="1"/>
  <c r="D565" i="1" s="1"/>
  <c r="F565" i="1" s="1"/>
  <c r="D566" i="1" a="1"/>
  <c r="D566" i="1" s="1"/>
  <c r="D567" i="1" a="1"/>
  <c r="D567" i="1" s="1"/>
  <c r="F567" i="1" s="1"/>
  <c r="D568" i="1" a="1"/>
  <c r="D568" i="1" s="1"/>
  <c r="F568" i="1" s="1"/>
  <c r="D569" i="1" a="1"/>
  <c r="D569" i="1" s="1"/>
  <c r="F569" i="1" s="1"/>
  <c r="D570" i="1" a="1"/>
  <c r="D570" i="1" s="1"/>
  <c r="F570" i="1" s="1"/>
  <c r="D571" i="1" a="1"/>
  <c r="D571" i="1" s="1"/>
  <c r="F571" i="1" s="1"/>
  <c r="D572" i="1" a="1"/>
  <c r="D572" i="1" s="1"/>
  <c r="E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F578" i="1" s="1"/>
  <c r="D579" i="1" a="1"/>
  <c r="D579" i="1" s="1"/>
  <c r="D580" i="1" a="1"/>
  <c r="D580" i="1" s="1"/>
  <c r="F580" i="1" s="1"/>
  <c r="D581" i="1" a="1"/>
  <c r="D581" i="1" s="1"/>
  <c r="F581" i="1" s="1"/>
  <c r="D582" i="1" a="1"/>
  <c r="D582" i="1" s="1"/>
  <c r="F582" i="1" s="1"/>
  <c r="D583" i="1" a="1"/>
  <c r="D583" i="1" s="1"/>
  <c r="F583" i="1" s="1"/>
  <c r="D584" i="1" a="1"/>
  <c r="D584" i="1" s="1"/>
  <c r="F584" i="1" s="1"/>
  <c r="D585" i="1" a="1"/>
  <c r="D585" i="1" s="1"/>
  <c r="D586" i="1" a="1"/>
  <c r="D586" i="1" s="1"/>
  <c r="D587" i="1" a="1"/>
  <c r="D587" i="1"/>
  <c r="D588" i="1" a="1"/>
  <c r="D588" i="1" s="1"/>
  <c r="E588" i="1" s="1"/>
  <c r="D589" i="1" a="1"/>
  <c r="D589" i="1" s="1"/>
  <c r="E589" i="1" s="1"/>
  <c r="D590" i="1" a="1"/>
  <c r="D590" i="1" s="1"/>
  <c r="F590" i="1" s="1"/>
  <c r="D591" i="1" a="1"/>
  <c r="D591" i="1" s="1"/>
  <c r="F591" i="1" s="1"/>
  <c r="D592" i="1" a="1"/>
  <c r="D592" i="1" s="1"/>
  <c r="F592" i="1" s="1"/>
  <c r="D593" i="1" a="1"/>
  <c r="D593" i="1" s="1"/>
  <c r="F593" i="1" s="1"/>
  <c r="D594" i="1" a="1"/>
  <c r="D594" i="1" s="1"/>
  <c r="F594" i="1" s="1"/>
  <c r="D595" i="1" a="1"/>
  <c r="D595" i="1" s="1"/>
  <c r="F595" i="1" s="1"/>
  <c r="D596" i="1" a="1"/>
  <c r="D596" i="1"/>
  <c r="F596" i="1" s="1"/>
  <c r="D597" i="1" a="1"/>
  <c r="D597" i="1" s="1"/>
  <c r="D598" i="1" a="1"/>
  <c r="D598" i="1" s="1"/>
  <c r="D599" i="1" a="1"/>
  <c r="D599" i="1" s="1"/>
  <c r="D600" i="1" a="1"/>
  <c r="D600" i="1" s="1"/>
  <c r="D601" i="1" a="1"/>
  <c r="D601" i="1" s="1"/>
  <c r="F601" i="1" s="1"/>
  <c r="D602" i="1" a="1"/>
  <c r="D602" i="1" s="1"/>
  <c r="F602" i="1" s="1"/>
  <c r="D603" i="1" a="1"/>
  <c r="D603" i="1" s="1"/>
  <c r="F603" i="1" s="1"/>
  <c r="D604" i="1" a="1"/>
  <c r="D604" i="1" s="1"/>
  <c r="F604" i="1" s="1"/>
  <c r="D605" i="1" a="1"/>
  <c r="D605" i="1" s="1"/>
  <c r="F605" i="1" s="1"/>
  <c r="D606" i="1" a="1"/>
  <c r="D606" i="1" s="1"/>
  <c r="F606" i="1" s="1"/>
  <c r="D607" i="1" a="1"/>
  <c r="D607" i="1" s="1"/>
  <c r="F607" i="1" s="1"/>
  <c r="D608" i="1" a="1"/>
  <c r="D608" i="1" s="1"/>
  <c r="F608" i="1" s="1"/>
  <c r="D609" i="1" a="1"/>
  <c r="D609" i="1" s="1"/>
  <c r="D610" i="1" a="1"/>
  <c r="D610" i="1" s="1"/>
  <c r="D611" i="1" a="1"/>
  <c r="D611" i="1" s="1"/>
  <c r="E611" i="1" s="1"/>
  <c r="D612" i="1" a="1"/>
  <c r="D612" i="1" s="1"/>
  <c r="E612" i="1" s="1"/>
  <c r="D613" i="1" a="1"/>
  <c r="D613" i="1" s="1"/>
  <c r="D614" i="1" a="1"/>
  <c r="D614" i="1" s="1"/>
  <c r="D615" i="1" a="1"/>
  <c r="D615" i="1" s="1"/>
  <c r="D616" i="1" a="1"/>
  <c r="D616" i="1" s="1"/>
  <c r="F616" i="1" s="1"/>
  <c r="D617" i="1" a="1"/>
  <c r="D617" i="1" s="1"/>
  <c r="F617" i="1" s="1"/>
  <c r="D618" i="1" a="1"/>
  <c r="D618" i="1" s="1"/>
  <c r="F618" i="1" s="1"/>
  <c r="D619" i="1" a="1"/>
  <c r="D619" i="1" s="1"/>
  <c r="F619" i="1" s="1"/>
  <c r="D620" i="1" a="1"/>
  <c r="D620" i="1" s="1"/>
  <c r="F620" i="1" s="1"/>
  <c r="D621" i="1" a="1"/>
  <c r="D621" i="1" s="1"/>
  <c r="D622" i="1" a="1"/>
  <c r="D622" i="1" s="1"/>
  <c r="D623" i="1" a="1"/>
  <c r="D623" i="1" s="1"/>
  <c r="D624" i="1" a="1"/>
  <c r="D624" i="1" s="1"/>
  <c r="E624" i="1" s="1"/>
  <c r="D625" i="1" a="1"/>
  <c r="D625" i="1" s="1"/>
  <c r="F625" i="1" s="1"/>
  <c r="D626" i="1" a="1"/>
  <c r="D626" i="1" s="1"/>
  <c r="F626" i="1" s="1"/>
  <c r="D627" i="1" a="1"/>
  <c r="D627" i="1" s="1"/>
  <c r="F627" i="1" s="1"/>
  <c r="D628" i="1" a="1"/>
  <c r="D628" i="1" s="1"/>
  <c r="F628" i="1" s="1"/>
  <c r="D629" i="1" a="1"/>
  <c r="D629" i="1" s="1"/>
  <c r="F629" i="1" s="1"/>
  <c r="D630" i="1" a="1"/>
  <c r="D630" i="1"/>
  <c r="F630" i="1" s="1"/>
  <c r="D631" i="1" a="1"/>
  <c r="D631" i="1" s="1"/>
  <c r="F631" i="1" s="1"/>
  <c r="D632" i="1" a="1"/>
  <c r="D632" i="1"/>
  <c r="D633" i="1" a="1"/>
  <c r="D633" i="1" s="1"/>
  <c r="E633" i="1" s="1"/>
  <c r="D634" i="1" a="1"/>
  <c r="D634" i="1" s="1"/>
  <c r="D635" i="1" a="1"/>
  <c r="D635" i="1" s="1"/>
  <c r="E635" i="1" s="1"/>
  <c r="D636" i="1" a="1"/>
  <c r="D636" i="1" s="1"/>
  <c r="D637" i="1" a="1"/>
  <c r="D637" i="1" s="1"/>
  <c r="F637" i="1" s="1"/>
  <c r="D638" i="1" a="1"/>
  <c r="D638" i="1" s="1"/>
  <c r="F638" i="1" s="1"/>
  <c r="D639" i="1" a="1"/>
  <c r="D639" i="1" s="1"/>
  <c r="F639" i="1" s="1"/>
  <c r="D640" i="1" a="1"/>
  <c r="D640" i="1" s="1"/>
  <c r="F640" i="1" s="1"/>
  <c r="D641" i="1" a="1"/>
  <c r="D641" i="1" s="1"/>
  <c r="F641" i="1" s="1"/>
  <c r="D642" i="1" a="1"/>
  <c r="D642" i="1" s="1"/>
  <c r="F642" i="1" s="1"/>
  <c r="D643" i="1" a="1"/>
  <c r="D643" i="1" s="1"/>
  <c r="D644" i="1" a="1"/>
  <c r="D644" i="1" s="1"/>
  <c r="D645" i="1" a="1"/>
  <c r="D645" i="1" s="1"/>
  <c r="E645" i="1" s="1"/>
  <c r="D646" i="1" a="1"/>
  <c r="D646" i="1" s="1"/>
  <c r="E646" i="1" s="1"/>
  <c r="D647" i="1" a="1"/>
  <c r="D647" i="1" s="1"/>
  <c r="D648" i="1" a="1"/>
  <c r="D648" i="1" s="1"/>
  <c r="E648" i="1" s="1"/>
  <c r="D649" i="1" a="1"/>
  <c r="D649" i="1" s="1"/>
  <c r="F649" i="1" s="1"/>
  <c r="D650" i="1" a="1"/>
  <c r="D650" i="1" s="1"/>
  <c r="F650" i="1" s="1"/>
  <c r="D651" i="1" a="1"/>
  <c r="D651" i="1" s="1"/>
  <c r="F651" i="1" s="1"/>
  <c r="D652" i="1" a="1"/>
  <c r="D652" i="1" s="1"/>
  <c r="F652" i="1" s="1"/>
  <c r="D653" i="1" a="1"/>
  <c r="D653" i="1" s="1"/>
  <c r="F653" i="1" s="1"/>
  <c r="D654" i="1" a="1"/>
  <c r="D654" i="1" s="1"/>
  <c r="D655" i="1" a="1"/>
  <c r="D655" i="1" s="1"/>
  <c r="D656" i="1" a="1"/>
  <c r="D656" i="1" s="1"/>
  <c r="F656" i="1" s="1"/>
  <c r="D657" i="1" a="1"/>
  <c r="D657" i="1" s="1"/>
  <c r="D658" i="1" a="1"/>
  <c r="D658" i="1" s="1"/>
  <c r="D659" i="1" a="1"/>
  <c r="D659" i="1" s="1"/>
  <c r="D660" i="1" a="1"/>
  <c r="D660" i="1" s="1"/>
  <c r="D661" i="1" a="1"/>
  <c r="D661" i="1" s="1"/>
  <c r="E661" i="1" s="1"/>
  <c r="D662" i="1" a="1"/>
  <c r="D662" i="1" s="1"/>
  <c r="F662" i="1" s="1"/>
  <c r="D663" i="1" a="1"/>
  <c r="D663" i="1" s="1"/>
  <c r="F663" i="1" s="1"/>
  <c r="D664" i="1" a="1"/>
  <c r="D664" i="1" s="1"/>
  <c r="F664" i="1" s="1"/>
  <c r="D665" i="1" a="1"/>
  <c r="D665" i="1" s="1"/>
  <c r="F665" i="1" s="1"/>
  <c r="D666" i="1" a="1"/>
  <c r="D666" i="1" s="1"/>
  <c r="D667" i="1" a="1"/>
  <c r="D667" i="1" s="1"/>
  <c r="D668" i="1" a="1"/>
  <c r="D668" i="1" s="1"/>
  <c r="D669" i="1" a="1"/>
  <c r="D669" i="1" s="1"/>
  <c r="E669" i="1" s="1"/>
  <c r="D670" i="1" a="1"/>
  <c r="D670" i="1" s="1"/>
  <c r="E670" i="1" s="1"/>
  <c r="D671" i="1" a="1"/>
  <c r="D671" i="1" s="1"/>
  <c r="E671" i="1" s="1"/>
  <c r="D672" i="1" a="1"/>
  <c r="D672" i="1" s="1"/>
  <c r="D673" i="1" a="1"/>
  <c r="D673" i="1" s="1"/>
  <c r="F673" i="1" s="1"/>
  <c r="D674" i="1" a="1"/>
  <c r="D674" i="1" s="1"/>
  <c r="F674" i="1" s="1"/>
  <c r="D675" i="1" a="1"/>
  <c r="D675" i="1" s="1"/>
  <c r="F675" i="1" s="1"/>
  <c r="D676" i="1" a="1"/>
  <c r="D676" i="1" s="1"/>
  <c r="F676" i="1" s="1"/>
  <c r="D677" i="1" a="1"/>
  <c r="D677" i="1" s="1"/>
  <c r="F677" i="1" s="1"/>
  <c r="D678" i="1" a="1"/>
  <c r="D678" i="1" s="1"/>
  <c r="D679" i="1" a="1"/>
  <c r="D679" i="1" s="1"/>
  <c r="D680" i="1" a="1"/>
  <c r="D680" i="1" s="1"/>
  <c r="D681" i="1" a="1"/>
  <c r="D681" i="1" s="1"/>
  <c r="D682" i="1" a="1"/>
  <c r="D682" i="1" s="1"/>
  <c r="D683" i="1" a="1"/>
  <c r="D683" i="1" s="1"/>
  <c r="D684" i="1" a="1"/>
  <c r="D684" i="1" s="1"/>
  <c r="D685" i="1" a="1"/>
  <c r="D685" i="1" s="1"/>
  <c r="F685" i="1" s="1"/>
  <c r="D686" i="1" a="1"/>
  <c r="D686" i="1" s="1"/>
  <c r="F686" i="1" s="1"/>
  <c r="D687" i="1" a="1"/>
  <c r="D687" i="1" s="1"/>
  <c r="F687" i="1" s="1"/>
  <c r="D688" i="1" a="1"/>
  <c r="D688" i="1" s="1"/>
  <c r="F688" i="1" s="1"/>
  <c r="D689" i="1" a="1"/>
  <c r="D689" i="1" s="1"/>
  <c r="F689" i="1" s="1"/>
  <c r="D690" i="1" a="1"/>
  <c r="D690" i="1" s="1"/>
  <c r="D691" i="1" a="1"/>
  <c r="D691" i="1" s="1"/>
  <c r="D692" i="1" a="1"/>
  <c r="D692" i="1" s="1"/>
  <c r="F692" i="1" s="1"/>
  <c r="D693" i="1" a="1"/>
  <c r="D693" i="1" s="1"/>
  <c r="D694" i="1" a="1"/>
  <c r="D694" i="1" s="1"/>
  <c r="D695" i="1" a="1"/>
  <c r="D695" i="1" s="1"/>
  <c r="D696" i="1" a="1"/>
  <c r="D696" i="1" s="1"/>
  <c r="E696" i="1" s="1"/>
  <c r="D697" i="1" a="1"/>
  <c r="D697" i="1" s="1"/>
  <c r="F697" i="1" s="1"/>
  <c r="D698" i="1" a="1"/>
  <c r="D698" i="1" s="1"/>
  <c r="F698" i="1" s="1"/>
  <c r="D699" i="1" a="1"/>
  <c r="D699" i="1" s="1"/>
  <c r="F699" i="1" s="1"/>
  <c r="D700" i="1" a="1"/>
  <c r="D700" i="1" s="1"/>
  <c r="F700" i="1" s="1"/>
  <c r="D701" i="1" a="1"/>
  <c r="D701" i="1" s="1"/>
  <c r="F701" i="1" s="1"/>
  <c r="D702" i="1" a="1"/>
  <c r="D702" i="1" s="1"/>
  <c r="D703" i="1" a="1"/>
  <c r="D703" i="1" s="1"/>
  <c r="D704" i="1" a="1"/>
  <c r="D704" i="1" s="1"/>
  <c r="D705" i="1" a="1"/>
  <c r="D705" i="1" s="1"/>
  <c r="D706" i="1" a="1"/>
  <c r="D706" i="1" s="1"/>
  <c r="D707" i="1" a="1"/>
  <c r="D707" i="1" s="1"/>
  <c r="D708" i="1" a="1"/>
  <c r="D708" i="1" s="1"/>
  <c r="D709" i="1" a="1"/>
  <c r="D709" i="1" s="1"/>
  <c r="F709" i="1" s="1"/>
  <c r="D710" i="1" a="1"/>
  <c r="D710" i="1" s="1"/>
  <c r="F710" i="1" s="1"/>
  <c r="D711" i="1" a="1"/>
  <c r="D711" i="1" s="1"/>
  <c r="F711" i="1" s="1"/>
  <c r="D712" i="1" a="1"/>
  <c r="D712" i="1" s="1"/>
  <c r="F712" i="1" s="1"/>
  <c r="D713" i="1" a="1"/>
  <c r="D713" i="1" s="1"/>
  <c r="F713" i="1" s="1"/>
  <c r="D714" i="1" a="1"/>
  <c r="D714" i="1" s="1"/>
  <c r="D715" i="1" a="1"/>
  <c r="D715" i="1" s="1"/>
  <c r="D716" i="1" a="1"/>
  <c r="D716" i="1" s="1"/>
  <c r="F716" i="1" s="1"/>
  <c r="D717" i="1" a="1"/>
  <c r="D717" i="1" s="1"/>
  <c r="E717" i="1" s="1"/>
  <c r="D718" i="1" a="1"/>
  <c r="D718" i="1" s="1"/>
  <c r="D719" i="1" a="1"/>
  <c r="D719" i="1" s="1"/>
  <c r="E719" i="1" s="1"/>
  <c r="D720" i="1" a="1"/>
  <c r="D720" i="1" s="1"/>
  <c r="E720" i="1" s="1"/>
  <c r="D721" i="1" a="1"/>
  <c r="D721" i="1" s="1"/>
  <c r="D722" i="1" a="1"/>
  <c r="D722" i="1" s="1"/>
  <c r="D723" i="1" a="1"/>
  <c r="D723" i="1" s="1"/>
  <c r="F723" i="1" s="1"/>
  <c r="D724" i="1" a="1"/>
  <c r="D724" i="1" s="1"/>
  <c r="F724" i="1" s="1"/>
  <c r="D725" i="1" a="1"/>
  <c r="D725" i="1" s="1"/>
  <c r="F725" i="1" s="1"/>
  <c r="D726" i="1" a="1"/>
  <c r="D726" i="1" s="1"/>
  <c r="D727" i="1" a="1"/>
  <c r="D727" i="1" s="1"/>
  <c r="F727" i="1" s="1"/>
  <c r="D728" i="1" a="1"/>
  <c r="D728" i="1" s="1"/>
  <c r="F728" i="1" s="1"/>
  <c r="D729" i="1" a="1"/>
  <c r="D729" i="1" s="1"/>
  <c r="D730" i="1" a="1"/>
  <c r="D730" i="1" s="1"/>
  <c r="D731" i="1" a="1"/>
  <c r="D731" i="1" s="1"/>
  <c r="D732" i="1" a="1"/>
  <c r="D732" i="1" s="1"/>
  <c r="E732" i="1" s="1"/>
  <c r="D733" i="1" a="1"/>
  <c r="D733" i="1" s="1"/>
  <c r="F733" i="1" s="1"/>
  <c r="D734" i="1" a="1"/>
  <c r="D734" i="1" s="1"/>
  <c r="F734" i="1" s="1"/>
  <c r="D735" i="1" a="1"/>
  <c r="D735" i="1" s="1"/>
  <c r="F735" i="1" s="1"/>
  <c r="D736" i="1" a="1"/>
  <c r="D736" i="1" s="1"/>
  <c r="F736" i="1" s="1"/>
  <c r="D737" i="1" a="1"/>
  <c r="D737" i="1" s="1"/>
  <c r="D738" i="1" a="1"/>
  <c r="D738" i="1" s="1"/>
  <c r="D739" i="1" a="1"/>
  <c r="D739" i="1" s="1"/>
  <c r="F739" i="1" s="1"/>
  <c r="D740" i="1" a="1"/>
  <c r="D740" i="1" s="1"/>
  <c r="F740" i="1" s="1"/>
  <c r="D741" i="1" a="1"/>
  <c r="D741" i="1" s="1"/>
  <c r="E741" i="1" s="1"/>
  <c r="D742" i="1" a="1"/>
  <c r="D742" i="1" s="1"/>
  <c r="D743" i="1" a="1"/>
  <c r="D743" i="1" s="1"/>
  <c r="E743" i="1" s="1"/>
  <c r="D744" i="1" a="1"/>
  <c r="D744" i="1" s="1"/>
  <c r="D745" i="1" a="1"/>
  <c r="D745" i="1" s="1"/>
  <c r="F745" i="1" s="1"/>
  <c r="D746" i="1" a="1"/>
  <c r="D746" i="1" s="1"/>
  <c r="F746" i="1" s="1"/>
  <c r="D747" i="1" a="1"/>
  <c r="D747" i="1" s="1"/>
  <c r="F747" i="1" s="1"/>
  <c r="D748" i="1" a="1"/>
  <c r="D748" i="1" s="1"/>
  <c r="F748" i="1" s="1"/>
  <c r="D749" i="1" a="1"/>
  <c r="D749" i="1" s="1"/>
  <c r="D750" i="1" a="1"/>
  <c r="D750" i="1" s="1"/>
  <c r="D751" i="1" a="1"/>
  <c r="D751" i="1" s="1"/>
  <c r="D752" i="1" a="1"/>
  <c r="D752" i="1" s="1"/>
  <c r="D753" i="1" a="1"/>
  <c r="D753" i="1" s="1"/>
  <c r="E753" i="1" s="1"/>
  <c r="D754" i="1" a="1"/>
  <c r="D754" i="1" s="1"/>
  <c r="E754" i="1" s="1"/>
  <c r="D755" i="1" a="1"/>
  <c r="D755" i="1" s="1"/>
  <c r="E755" i="1" s="1"/>
  <c r="D756" i="1" a="1"/>
  <c r="D756" i="1" s="1"/>
  <c r="E756" i="1" s="1"/>
  <c r="D757" i="1" a="1"/>
  <c r="D757" i="1" s="1"/>
  <c r="F757" i="1" s="1"/>
  <c r="D758" i="1" a="1"/>
  <c r="D758" i="1" s="1"/>
  <c r="F758" i="1" s="1"/>
  <c r="D759" i="1" a="1"/>
  <c r="D759" i="1" s="1"/>
  <c r="F759" i="1" s="1"/>
  <c r="D760" i="1" a="1"/>
  <c r="D760" i="1" s="1"/>
  <c r="D761" i="1" a="1"/>
  <c r="D761" i="1" s="1"/>
  <c r="F761" i="1" s="1"/>
  <c r="D762" i="1" a="1"/>
  <c r="D762" i="1" s="1"/>
  <c r="F762" i="1" s="1"/>
  <c r="D763" i="1" a="1"/>
  <c r="D763" i="1" s="1"/>
  <c r="F763" i="1" s="1"/>
  <c r="D764" i="1" a="1"/>
  <c r="D764" i="1" s="1"/>
  <c r="F764" i="1" s="1"/>
  <c r="D765" i="1" a="1"/>
  <c r="D765" i="1" s="1"/>
  <c r="D766" i="1" a="1"/>
  <c r="D766" i="1" s="1"/>
  <c r="D767" i="1" a="1"/>
  <c r="D767" i="1" s="1"/>
  <c r="D768" i="1" a="1"/>
  <c r="D768" i="1" s="1"/>
  <c r="D769" i="1" a="1"/>
  <c r="D769" i="1" s="1"/>
  <c r="E769" i="1" s="1"/>
  <c r="D770" i="1" a="1"/>
  <c r="D770" i="1" s="1"/>
  <c r="F770" i="1" s="1"/>
  <c r="D771" i="1" a="1"/>
  <c r="D771" i="1" s="1"/>
  <c r="E771" i="1" s="1"/>
  <c r="D772" i="1" a="1"/>
  <c r="D772" i="1" s="1"/>
  <c r="D773" i="1" a="1"/>
  <c r="D773" i="1" s="1"/>
  <c r="D774" i="1" a="1"/>
  <c r="D774" i="1" s="1"/>
  <c r="F774" i="1" s="1"/>
  <c r="D775" i="1" a="1"/>
  <c r="D775" i="1" s="1"/>
  <c r="F775" i="1" s="1"/>
  <c r="D776" i="1" a="1"/>
  <c r="D776" i="1" s="1"/>
  <c r="D777" i="1" a="1"/>
  <c r="D777" i="1" s="1"/>
  <c r="E777" i="1" s="1"/>
  <c r="D778" i="1" a="1"/>
  <c r="D778" i="1" s="1"/>
  <c r="E778" i="1" s="1"/>
  <c r="D779" i="1" a="1"/>
  <c r="D779" i="1" s="1"/>
  <c r="E779" i="1" s="1"/>
  <c r="D780" i="1" a="1"/>
  <c r="D780" i="1" s="1"/>
  <c r="D781" i="1" a="1"/>
  <c r="D781" i="1" s="1"/>
  <c r="F781" i="1" s="1"/>
  <c r="D782" i="1" a="1"/>
  <c r="D782" i="1" s="1"/>
  <c r="F782" i="1" s="1"/>
  <c r="D783" i="1" a="1"/>
  <c r="D783" i="1" s="1"/>
  <c r="F783" i="1" s="1"/>
  <c r="D784" i="1" a="1"/>
  <c r="D784" i="1" s="1"/>
  <c r="D785" i="1" a="1"/>
  <c r="D785" i="1" s="1"/>
  <c r="D786" i="1" a="1"/>
  <c r="D786" i="1" s="1"/>
  <c r="F786" i="1" s="1"/>
  <c r="D787" i="1" a="1"/>
  <c r="D787" i="1" s="1"/>
  <c r="F787" i="1" s="1"/>
  <c r="D788" i="1" a="1"/>
  <c r="D788" i="1" s="1"/>
  <c r="F788" i="1" s="1"/>
  <c r="D789" i="1" a="1"/>
  <c r="D789" i="1" s="1"/>
  <c r="D790" i="1" a="1"/>
  <c r="D790" i="1" s="1"/>
  <c r="D791" i="1" a="1"/>
  <c r="D791" i="1" s="1"/>
  <c r="D792" i="1" a="1"/>
  <c r="D792" i="1" s="1"/>
  <c r="D793" i="1" a="1"/>
  <c r="D793" i="1" s="1"/>
  <c r="E793" i="1" s="1"/>
  <c r="D794" i="1" a="1"/>
  <c r="D794" i="1" s="1"/>
  <c r="F794" i="1" s="1"/>
  <c r="D795" i="1" a="1"/>
  <c r="D795" i="1" s="1"/>
  <c r="E795" i="1" s="1"/>
  <c r="D796" i="1" a="1"/>
  <c r="D796" i="1" s="1"/>
  <c r="D797" i="1" a="1"/>
  <c r="D797" i="1" s="1"/>
  <c r="F797" i="1" s="1"/>
  <c r="D798" i="1" a="1"/>
  <c r="D798" i="1" s="1"/>
  <c r="F798" i="1" s="1"/>
  <c r="D799" i="1" a="1"/>
  <c r="D799" i="1" s="1"/>
  <c r="F799" i="1" s="1"/>
  <c r="D800" i="1" a="1"/>
  <c r="D800" i="1" s="1"/>
  <c r="F800" i="1" s="1"/>
  <c r="D801" i="1" a="1"/>
  <c r="D801" i="1" s="1"/>
  <c r="D802" i="1" a="1"/>
  <c r="D802" i="1" s="1"/>
  <c r="D803" i="1" a="1"/>
  <c r="D803" i="1" s="1"/>
  <c r="D804" i="1" a="1"/>
  <c r="D804" i="1" s="1"/>
  <c r="E804" i="1" s="1"/>
  <c r="D805" i="1" a="1"/>
  <c r="D805" i="1" s="1"/>
  <c r="E805" i="1" s="1"/>
  <c r="D806" i="1" a="1"/>
  <c r="D806" i="1" s="1"/>
  <c r="F806" i="1" s="1"/>
  <c r="D807" i="1" a="1"/>
  <c r="D807" i="1" s="1"/>
  <c r="D808" i="1" a="1"/>
  <c r="D808" i="1" s="1"/>
  <c r="D809" i="1" a="1"/>
  <c r="D809" i="1" s="1"/>
  <c r="F809" i="1" s="1"/>
  <c r="D810" i="1" a="1"/>
  <c r="D810" i="1" s="1"/>
  <c r="F810" i="1" s="1"/>
  <c r="D811" i="1" a="1"/>
  <c r="D811" i="1" s="1"/>
  <c r="F811" i="1" s="1"/>
  <c r="D812" i="1" a="1"/>
  <c r="D812" i="1" s="1"/>
  <c r="D813" i="1" a="1"/>
  <c r="D813" i="1" s="1"/>
  <c r="D814" i="1" a="1"/>
  <c r="D814" i="1"/>
  <c r="D815" i="1" a="1"/>
  <c r="D815" i="1" s="1"/>
  <c r="D816" i="1" a="1"/>
  <c r="D816" i="1" s="1"/>
  <c r="D817" i="1" a="1"/>
  <c r="D817" i="1" s="1"/>
  <c r="F817" i="1" s="1"/>
  <c r="D818" i="1" a="1"/>
  <c r="D818" i="1" s="1"/>
  <c r="D819" i="1" a="1"/>
  <c r="D819" i="1" s="1"/>
  <c r="D820" i="1" a="1"/>
  <c r="D820" i="1"/>
  <c r="F820" i="1" s="1"/>
  <c r="D821" i="1" a="1"/>
  <c r="D821" i="1" s="1"/>
  <c r="F821" i="1" s="1"/>
  <c r="D822" i="1" a="1"/>
  <c r="D822" i="1" s="1"/>
  <c r="D823" i="1" a="1"/>
  <c r="D823" i="1" s="1"/>
  <c r="F823" i="1" s="1"/>
  <c r="D824" i="1" a="1"/>
  <c r="D824" i="1" s="1"/>
  <c r="F824" i="1" s="1"/>
  <c r="D825" i="1" a="1"/>
  <c r="D825" i="1" s="1"/>
  <c r="E825" i="1" s="1"/>
  <c r="D826" i="1" a="1"/>
  <c r="D826" i="1" s="1"/>
  <c r="D827" i="1" a="1"/>
  <c r="D827" i="1" s="1"/>
  <c r="D828" i="1" a="1"/>
  <c r="D828" i="1" s="1"/>
  <c r="D829" i="1" a="1"/>
  <c r="D829" i="1" s="1"/>
  <c r="F829" i="1" s="1"/>
  <c r="D830" i="1" a="1"/>
  <c r="D830" i="1" s="1"/>
  <c r="F830" i="1" s="1"/>
  <c r="D831" i="1" a="1"/>
  <c r="D831" i="1" s="1"/>
  <c r="D832" i="1" a="1"/>
  <c r="D832" i="1" s="1"/>
  <c r="F832" i="1" s="1"/>
  <c r="D833" i="1" a="1"/>
  <c r="D833" i="1" s="1"/>
  <c r="F833" i="1" s="1"/>
  <c r="D834" i="1" a="1"/>
  <c r="D834" i="1" s="1"/>
  <c r="F834" i="1" s="1"/>
  <c r="D835" i="1" a="1"/>
  <c r="D835" i="1" s="1"/>
  <c r="F835" i="1" s="1"/>
  <c r="D836" i="1" a="1"/>
  <c r="D836" i="1" s="1"/>
  <c r="F836" i="1" s="1"/>
  <c r="D837" i="1" a="1"/>
  <c r="D837" i="1" s="1"/>
  <c r="D838" i="1" a="1"/>
  <c r="D838" i="1" s="1"/>
  <c r="D839" i="1" a="1"/>
  <c r="D839" i="1" s="1"/>
  <c r="D840" i="1" a="1"/>
  <c r="D840" i="1" s="1"/>
  <c r="E840" i="1" s="1"/>
  <c r="D841" i="1" a="1"/>
  <c r="D841" i="1" s="1"/>
  <c r="F841" i="1" s="1"/>
  <c r="D842" i="1" a="1"/>
  <c r="D842" i="1" s="1"/>
  <c r="F842" i="1" s="1"/>
  <c r="D843" i="1" a="1"/>
  <c r="D843" i="1" s="1"/>
  <c r="F843" i="1" s="1"/>
  <c r="D844" i="1" a="1"/>
  <c r="D844" i="1" s="1"/>
  <c r="F844" i="1" s="1"/>
  <c r="D845" i="1" a="1"/>
  <c r="D845" i="1" s="1"/>
  <c r="F845" i="1" s="1"/>
  <c r="D846" i="1" a="1"/>
  <c r="D846" i="1" s="1"/>
  <c r="F846" i="1" s="1"/>
  <c r="D847" i="1" a="1"/>
  <c r="D847" i="1" s="1"/>
  <c r="F847" i="1" s="1"/>
  <c r="D848" i="1" a="1"/>
  <c r="D848" i="1" s="1"/>
  <c r="F848" i="1" s="1"/>
  <c r="D849" i="1" a="1"/>
  <c r="D849" i="1" s="1"/>
  <c r="E849" i="1" s="1"/>
  <c r="D850" i="1" a="1"/>
  <c r="D850" i="1" s="1"/>
  <c r="D851" i="1" a="1"/>
  <c r="D851" i="1" s="1"/>
  <c r="D852" i="1" a="1"/>
  <c r="D852" i="1" s="1"/>
  <c r="D853" i="1" a="1"/>
  <c r="D853" i="1" s="1"/>
  <c r="F853" i="1" s="1"/>
  <c r="D854" i="1" a="1"/>
  <c r="D854" i="1" s="1"/>
  <c r="F854" i="1" s="1"/>
  <c r="D855" i="1" a="1"/>
  <c r="D855" i="1" s="1"/>
  <c r="F855" i="1" s="1"/>
  <c r="D856" i="1" a="1"/>
  <c r="D856" i="1" s="1"/>
  <c r="F856" i="1" s="1"/>
  <c r="D857" i="1" a="1"/>
  <c r="D857" i="1" s="1"/>
  <c r="F857" i="1" s="1"/>
  <c r="D858" i="1" a="1"/>
  <c r="D858" i="1" s="1"/>
  <c r="F858" i="1" s="1"/>
  <c r="D859" i="1" a="1"/>
  <c r="D859" i="1" s="1"/>
  <c r="F859" i="1" s="1"/>
  <c r="D860" i="1" a="1"/>
  <c r="D860" i="1" s="1"/>
  <c r="F860" i="1" s="1"/>
  <c r="D861" i="1" a="1"/>
  <c r="D861" i="1" s="1"/>
  <c r="E861" i="1" s="1"/>
  <c r="D862" i="1" a="1"/>
  <c r="D862" i="1" s="1"/>
  <c r="D863" i="1" a="1"/>
  <c r="D863" i="1" s="1"/>
  <c r="E863" i="1" s="1"/>
  <c r="D864" i="1" a="1"/>
  <c r="D864" i="1" s="1"/>
  <c r="E864" i="1" s="1"/>
  <c r="D865" i="1" a="1"/>
  <c r="D865" i="1" s="1"/>
  <c r="F865" i="1" s="1"/>
  <c r="D866" i="1" a="1"/>
  <c r="D866" i="1" s="1"/>
  <c r="F866" i="1" s="1"/>
  <c r="D867" i="1" a="1"/>
  <c r="D867" i="1" s="1"/>
  <c r="F867" i="1" s="1"/>
  <c r="D868" i="1" a="1"/>
  <c r="D868" i="1" s="1"/>
  <c r="F868" i="1" s="1"/>
  <c r="D869" i="1" a="1"/>
  <c r="D869" i="1" s="1"/>
  <c r="F869" i="1" s="1"/>
  <c r="D870" i="1" a="1"/>
  <c r="D870" i="1" s="1"/>
  <c r="F870" i="1" s="1"/>
  <c r="D871" i="1" a="1"/>
  <c r="D871" i="1" s="1"/>
  <c r="F871" i="1" s="1"/>
  <c r="D872" i="1" a="1"/>
  <c r="D872" i="1" s="1"/>
  <c r="F872" i="1" s="1"/>
  <c r="D873" i="1" a="1"/>
  <c r="D873" i="1" s="1"/>
  <c r="D874" i="1" a="1"/>
  <c r="D874" i="1" s="1"/>
  <c r="D875" i="1" a="1"/>
  <c r="D875" i="1" s="1"/>
  <c r="D876" i="1" a="1"/>
  <c r="D876" i="1" s="1"/>
  <c r="D877" i="1" a="1"/>
  <c r="D877" i="1" s="1"/>
  <c r="F877" i="1" s="1"/>
  <c r="D878" i="1" a="1"/>
  <c r="D878" i="1" s="1"/>
  <c r="F878" i="1" s="1"/>
  <c r="D879" i="1" a="1"/>
  <c r="D879" i="1" s="1"/>
  <c r="F879" i="1" s="1"/>
  <c r="D880" i="1" a="1"/>
  <c r="D880" i="1" s="1"/>
  <c r="F880" i="1" s="1"/>
  <c r="D881" i="1" a="1"/>
  <c r="D881" i="1" s="1"/>
  <c r="F881" i="1" s="1"/>
  <c r="D882" i="1" a="1"/>
  <c r="D882" i="1" s="1"/>
  <c r="F882" i="1" s="1"/>
  <c r="D883" i="1" a="1"/>
  <c r="D883" i="1"/>
  <c r="F883" i="1" s="1"/>
  <c r="D884" i="1" a="1"/>
  <c r="D884" i="1" s="1"/>
  <c r="F884" i="1" s="1"/>
  <c r="D885" i="1" a="1"/>
  <c r="D885" i="1" s="1"/>
  <c r="D886" i="1" a="1"/>
  <c r="D886" i="1" s="1"/>
  <c r="D887" i="1" a="1"/>
  <c r="D887" i="1" s="1"/>
  <c r="E887" i="1" s="1"/>
  <c r="D888" i="1" a="1"/>
  <c r="D888" i="1" s="1"/>
  <c r="D889" i="1" a="1"/>
  <c r="D889" i="1" s="1"/>
  <c r="F889" i="1" s="1"/>
  <c r="D890" i="1" a="1"/>
  <c r="D890" i="1" s="1"/>
  <c r="F890" i="1" s="1"/>
  <c r="D891" i="1" a="1"/>
  <c r="D891" i="1" s="1"/>
  <c r="F891" i="1" s="1"/>
  <c r="D892" i="1" a="1"/>
  <c r="D892" i="1" s="1"/>
  <c r="F892" i="1" s="1"/>
  <c r="D893" i="1" a="1"/>
  <c r="D893" i="1" s="1"/>
  <c r="F893" i="1" s="1"/>
  <c r="D894" i="1" a="1"/>
  <c r="D894" i="1" s="1"/>
  <c r="F894" i="1" s="1"/>
  <c r="D895" i="1" a="1"/>
  <c r="D895" i="1" s="1"/>
  <c r="F895" i="1" s="1"/>
  <c r="D896" i="1" a="1"/>
  <c r="D896" i="1" s="1"/>
  <c r="E896" i="1" s="1"/>
  <c r="D897" i="1" a="1"/>
  <c r="D897" i="1" s="1"/>
  <c r="D898" i="1" a="1"/>
  <c r="D898" i="1" s="1"/>
  <c r="D899" i="1" a="1"/>
  <c r="D899" i="1" s="1"/>
  <c r="D900" i="1" a="1"/>
  <c r="D900" i="1" s="1"/>
  <c r="D901" i="1" a="1"/>
  <c r="D901" i="1" s="1"/>
  <c r="D902" i="1" a="1"/>
  <c r="D902" i="1" s="1"/>
  <c r="F902" i="1" s="1"/>
  <c r="D903" i="1" a="1"/>
  <c r="D903" i="1" s="1"/>
  <c r="D904" i="1" a="1"/>
  <c r="D904" i="1" s="1"/>
  <c r="F904" i="1" s="1"/>
  <c r="D905" i="1" a="1"/>
  <c r="D905" i="1" s="1"/>
  <c r="F905" i="1" s="1"/>
  <c r="D906" i="1" a="1"/>
  <c r="D906" i="1" s="1"/>
  <c r="F906" i="1" s="1"/>
  <c r="D907" i="1" a="1"/>
  <c r="D907" i="1" s="1"/>
  <c r="F907" i="1" s="1"/>
  <c r="D908" i="1" a="1"/>
  <c r="D908" i="1" s="1"/>
  <c r="F908" i="1" s="1"/>
  <c r="D909" i="1" a="1"/>
  <c r="D909" i="1" s="1"/>
  <c r="D910" i="1" a="1"/>
  <c r="D910" i="1" s="1"/>
  <c r="D911" i="1" a="1"/>
  <c r="D911" i="1" s="1"/>
  <c r="D912" i="1" a="1"/>
  <c r="D912" i="1" s="1"/>
  <c r="E912" i="1" s="1"/>
  <c r="D913" i="1" a="1"/>
  <c r="D913" i="1" s="1"/>
  <c r="E913" i="1" s="1"/>
  <c r="D914" i="1" a="1"/>
  <c r="D914" i="1" s="1"/>
  <c r="D915" i="1" a="1"/>
  <c r="D915" i="1" s="1"/>
  <c r="F915" i="1" s="1"/>
  <c r="D916" i="1" a="1"/>
  <c r="D916" i="1" s="1"/>
  <c r="F916" i="1" s="1"/>
  <c r="D917" i="1" a="1"/>
  <c r="D917" i="1" s="1"/>
  <c r="F917" i="1" s="1"/>
  <c r="D918" i="1" a="1"/>
  <c r="D918" i="1" s="1"/>
  <c r="F918" i="1" s="1"/>
  <c r="D919" i="1" a="1"/>
  <c r="D919" i="1" s="1"/>
  <c r="D920" i="1" a="1"/>
  <c r="D920" i="1" s="1"/>
  <c r="D921" i="1" a="1"/>
  <c r="D921" i="1" s="1"/>
  <c r="D922" i="1" a="1"/>
  <c r="D922" i="1" s="1"/>
  <c r="D923" i="1" a="1"/>
  <c r="D923" i="1" s="1"/>
  <c r="D924" i="1" a="1"/>
  <c r="D924" i="1" s="1"/>
  <c r="D925" i="1" a="1"/>
  <c r="D925" i="1" s="1"/>
  <c r="F925" i="1" s="1"/>
  <c r="D926" i="1" a="1"/>
  <c r="D926" i="1" s="1"/>
  <c r="F926" i="1" s="1"/>
  <c r="D927" i="1" a="1"/>
  <c r="D927" i="1" s="1"/>
  <c r="F927" i="1" s="1"/>
  <c r="D928" i="1" a="1"/>
  <c r="D928" i="1" s="1"/>
  <c r="F928" i="1" s="1"/>
  <c r="D929" i="1" a="1"/>
  <c r="D929" i="1" s="1"/>
  <c r="F929" i="1" s="1"/>
  <c r="D930" i="1" a="1"/>
  <c r="D930" i="1"/>
  <c r="D931" i="1" a="1"/>
  <c r="D931" i="1" s="1"/>
  <c r="F931" i="1" s="1"/>
  <c r="D932" i="1" a="1"/>
  <c r="D932" i="1" s="1"/>
  <c r="F932" i="1" s="1"/>
  <c r="D933" i="1" a="1"/>
  <c r="D933" i="1" s="1"/>
  <c r="E933" i="1" s="1"/>
  <c r="D934" i="1" a="1"/>
  <c r="D934" i="1" s="1"/>
  <c r="D935" i="1" a="1"/>
  <c r="D935" i="1" s="1"/>
  <c r="E935" i="1" s="1"/>
  <c r="D936" i="1" a="1"/>
  <c r="D936" i="1" s="1"/>
  <c r="E936" i="1" s="1"/>
  <c r="D937" i="1" a="1"/>
  <c r="D937" i="1" s="1"/>
  <c r="F937" i="1" s="1"/>
  <c r="D938" i="1" a="1"/>
  <c r="D938" i="1" s="1"/>
  <c r="F938" i="1" s="1"/>
  <c r="D939" i="1" a="1"/>
  <c r="D939" i="1" s="1"/>
  <c r="F939" i="1" s="1"/>
  <c r="D940" i="1" a="1"/>
  <c r="D940" i="1" s="1"/>
  <c r="F940" i="1" s="1"/>
  <c r="D941" i="1" a="1"/>
  <c r="D941" i="1" s="1"/>
  <c r="F941" i="1" s="1"/>
  <c r="D942" i="1" a="1"/>
  <c r="D942" i="1" s="1"/>
  <c r="D943" i="1" a="1"/>
  <c r="D943" i="1" s="1"/>
  <c r="F943" i="1" s="1"/>
  <c r="D944" i="1" a="1"/>
  <c r="D944" i="1" s="1"/>
  <c r="F944" i="1" s="1"/>
  <c r="D945" i="1" a="1"/>
  <c r="D945" i="1" s="1"/>
  <c r="D946" i="1" a="1"/>
  <c r="D946" i="1" s="1"/>
  <c r="D947" i="1" a="1"/>
  <c r="D947" i="1" s="1"/>
  <c r="D948" i="1" a="1"/>
  <c r="D948" i="1" s="1"/>
  <c r="E948" i="1" s="1"/>
  <c r="D949" i="1" a="1"/>
  <c r="D949" i="1" s="1"/>
  <c r="F949" i="1" s="1"/>
  <c r="D950" i="1" a="1"/>
  <c r="D950" i="1" s="1"/>
  <c r="F950" i="1" s="1"/>
  <c r="D951" i="1" a="1"/>
  <c r="D951" i="1" s="1"/>
  <c r="F951" i="1" s="1"/>
  <c r="D952" i="1" a="1"/>
  <c r="D952" i="1" s="1"/>
  <c r="F952" i="1" s="1"/>
  <c r="D953" i="1" a="1"/>
  <c r="D953" i="1" s="1"/>
  <c r="D954" i="1" a="1"/>
  <c r="D954" i="1" s="1"/>
  <c r="D955" i="1" a="1"/>
  <c r="D955" i="1" s="1"/>
  <c r="F955" i="1" s="1"/>
  <c r="D956" i="1" a="1"/>
  <c r="D956" i="1" s="1"/>
  <c r="F956" i="1" s="1"/>
  <c r="D957" i="1" a="1"/>
  <c r="D957" i="1" s="1"/>
  <c r="E957" i="1" s="1"/>
  <c r="D958" i="1" a="1"/>
  <c r="D958" i="1" s="1"/>
  <c r="D959" i="1" a="1"/>
  <c r="D959" i="1" s="1"/>
  <c r="E959" i="1" s="1"/>
  <c r="D960" i="1" a="1"/>
  <c r="D960" i="1"/>
  <c r="D961" i="1" a="1"/>
  <c r="D961" i="1" s="1"/>
  <c r="F961" i="1" s="1"/>
  <c r="D962" i="1" a="1"/>
  <c r="D962" i="1" s="1"/>
  <c r="F962" i="1" s="1"/>
  <c r="D963" i="1" a="1"/>
  <c r="D963" i="1" s="1"/>
  <c r="F963" i="1" s="1"/>
  <c r="D964" i="1" a="1"/>
  <c r="D964" i="1" s="1"/>
  <c r="D965" i="1" a="1"/>
  <c r="D965" i="1" s="1"/>
  <c r="D966" i="1" a="1"/>
  <c r="D966" i="1" s="1"/>
  <c r="F966" i="1" s="1"/>
  <c r="D967" i="1" a="1"/>
  <c r="D967" i="1" s="1"/>
  <c r="F967" i="1" s="1"/>
  <c r="D968" i="1" a="1"/>
  <c r="D968" i="1" s="1"/>
  <c r="F968" i="1" s="1"/>
  <c r="D969" i="1" a="1"/>
  <c r="D969" i="1" s="1"/>
  <c r="E969" i="1" s="1"/>
  <c r="D970" i="1" a="1"/>
  <c r="D970" i="1" s="1"/>
  <c r="E970" i="1" s="1"/>
  <c r="D971" i="1" a="1"/>
  <c r="D971" i="1" s="1"/>
  <c r="E971" i="1" s="1"/>
  <c r="D972" i="1" a="1"/>
  <c r="D972" i="1" s="1"/>
  <c r="E972" i="1" s="1"/>
  <c r="D973" i="1" a="1"/>
  <c r="D973" i="1" s="1"/>
  <c r="F973" i="1" s="1"/>
  <c r="D974" i="1" a="1"/>
  <c r="D974" i="1" s="1"/>
  <c r="F974" i="1" s="1"/>
  <c r="D975" i="1" a="1"/>
  <c r="D975" i="1" s="1"/>
  <c r="F975" i="1" s="1"/>
  <c r="D976" i="1" a="1"/>
  <c r="D976" i="1" s="1"/>
  <c r="D977" i="1" a="1"/>
  <c r="D977" i="1" s="1"/>
  <c r="F977" i="1" s="1"/>
  <c r="D978" i="1" a="1"/>
  <c r="D978" i="1" s="1"/>
  <c r="F978" i="1" s="1"/>
  <c r="D979" i="1" a="1"/>
  <c r="D979" i="1" s="1"/>
  <c r="F979" i="1" s="1"/>
  <c r="D980" i="1" a="1"/>
  <c r="D980" i="1" s="1"/>
  <c r="F980" i="1" s="1"/>
  <c r="D981" i="1" a="1"/>
  <c r="D981" i="1" s="1"/>
  <c r="D982" i="1" a="1"/>
  <c r="D982" i="1" s="1"/>
  <c r="D983" i="1" a="1"/>
  <c r="D983" i="1" s="1"/>
  <c r="D984" i="1" a="1"/>
  <c r="D984" i="1" s="1"/>
  <c r="D985" i="1" a="1"/>
  <c r="D985" i="1"/>
  <c r="E985" i="1" s="1"/>
  <c r="D986" i="1" a="1"/>
  <c r="D986" i="1" s="1"/>
  <c r="F986" i="1" s="1"/>
  <c r="D987" i="1" a="1"/>
  <c r="D987" i="1" s="1"/>
  <c r="D988" i="1" a="1"/>
  <c r="D988" i="1" s="1"/>
  <c r="D989" i="1" a="1"/>
  <c r="D989" i="1" s="1"/>
  <c r="F989" i="1" s="1"/>
  <c r="D990" i="1" a="1"/>
  <c r="D990" i="1" s="1"/>
  <c r="F990" i="1" s="1"/>
  <c r="D991" i="1" a="1"/>
  <c r="D991" i="1" s="1"/>
  <c r="F991" i="1" s="1"/>
  <c r="D992" i="1" a="1"/>
  <c r="D992" i="1" s="1"/>
  <c r="D993" i="1" a="1"/>
  <c r="D993" i="1" s="1"/>
  <c r="E993" i="1" s="1"/>
  <c r="D994" i="1" a="1"/>
  <c r="D994" i="1" s="1"/>
  <c r="E994" i="1" s="1"/>
  <c r="D995" i="1" a="1"/>
  <c r="D995" i="1" s="1"/>
  <c r="E995" i="1" s="1"/>
  <c r="D996" i="1" a="1"/>
  <c r="D996" i="1" s="1"/>
  <c r="D997" i="1" a="1"/>
  <c r="D997" i="1" s="1"/>
  <c r="F997" i="1" s="1"/>
  <c r="D998" i="1" a="1"/>
  <c r="D998" i="1" s="1"/>
  <c r="F998" i="1" s="1"/>
  <c r="D999" i="1" a="1"/>
  <c r="D999" i="1" s="1"/>
  <c r="D1000" i="1" a="1"/>
  <c r="D1000" i="1" s="1"/>
  <c r="D1001" i="1" a="1"/>
  <c r="D1001" i="1" s="1"/>
  <c r="F1001" i="1" s="1"/>
  <c r="D1002" i="1" a="1"/>
  <c r="D1002" i="1" s="1"/>
  <c r="F1002" i="1" s="1"/>
  <c r="D1003" i="1" a="1"/>
  <c r="D1003" i="1" s="1"/>
  <c r="F1003" i="1" s="1"/>
  <c r="D1004" i="1" a="1"/>
  <c r="D1004" i="1" s="1"/>
  <c r="D1005" i="1" a="1"/>
  <c r="D1005" i="1" s="1"/>
  <c r="D1006" i="1" a="1"/>
  <c r="D1006" i="1" s="1"/>
  <c r="D1007" i="1" a="1"/>
  <c r="D1007" i="1" s="1"/>
  <c r="D1008" i="1" a="1"/>
  <c r="D1008" i="1" s="1"/>
  <c r="D1009" i="1" a="1"/>
  <c r="D1009" i="1" s="1"/>
  <c r="F1009" i="1" s="1"/>
  <c r="D1010" i="1" a="1"/>
  <c r="D1010" i="1" s="1"/>
  <c r="D1011" i="1" a="1"/>
  <c r="D1011" i="1" s="1"/>
  <c r="D1012" i="1" a="1"/>
  <c r="D1012" i="1" s="1"/>
  <c r="F1012" i="1" s="1"/>
  <c r="D1013" i="1" a="1"/>
  <c r="D1013" i="1" s="1"/>
  <c r="F1013" i="1" s="1"/>
  <c r="D1014" i="1" a="1"/>
  <c r="D1014" i="1" s="1"/>
  <c r="F1014" i="1" s="1"/>
  <c r="D1015" i="1" a="1"/>
  <c r="D1015" i="1" s="1"/>
  <c r="F1015" i="1" s="1"/>
  <c r="D1016" i="1" a="1"/>
  <c r="D1016" i="1" s="1"/>
  <c r="D1017" i="1" a="1"/>
  <c r="D1017" i="1" s="1"/>
  <c r="D1018" i="1" a="1"/>
  <c r="D1018" i="1" s="1"/>
  <c r="D1019" i="1" a="1"/>
  <c r="D1019" i="1" s="1"/>
  <c r="D1020" i="1" a="1"/>
  <c r="D1020" i="1"/>
  <c r="D1021" i="1" a="1"/>
  <c r="D1021" i="1" s="1"/>
  <c r="D1022" i="1" a="1"/>
  <c r="D1022" i="1" s="1"/>
  <c r="D1023" i="1" a="1"/>
  <c r="D1023" i="1"/>
  <c r="F1023" i="1" s="1"/>
  <c r="D1024" i="1" a="1"/>
  <c r="D1024" i="1" s="1"/>
  <c r="D1025" i="1" a="1"/>
  <c r="D1025" i="1" s="1"/>
  <c r="F1025" i="1" s="1"/>
  <c r="D1026" i="1" a="1"/>
  <c r="D1026" i="1" s="1"/>
  <c r="F1026" i="1" s="1"/>
  <c r="D1027" i="1" a="1"/>
  <c r="D1027" i="1" s="1"/>
  <c r="F1027" i="1" s="1"/>
  <c r="D1028" i="1" a="1"/>
  <c r="D1028" i="1" s="1"/>
  <c r="F1028" i="1" s="1"/>
  <c r="D1029" i="1" a="1"/>
  <c r="D1029" i="1" s="1"/>
  <c r="D1030" i="1" a="1"/>
  <c r="D1030" i="1" s="1"/>
  <c r="D1031" i="1" a="1"/>
  <c r="D1031" i="1" s="1"/>
  <c r="D1032" i="1" a="1"/>
  <c r="D1032" i="1" s="1"/>
  <c r="D1033" i="1" a="1"/>
  <c r="D1033" i="1" s="1"/>
  <c r="D1034" i="1" a="1"/>
  <c r="D1034" i="1" s="1"/>
  <c r="F1034" i="1" s="1"/>
  <c r="D1035" i="1" a="1"/>
  <c r="D1035" i="1" s="1"/>
  <c r="E1035" i="1" s="1"/>
  <c r="D1036" i="1" a="1"/>
  <c r="D1036" i="1" s="1"/>
  <c r="E1036" i="1" s="1"/>
  <c r="D1037" i="1" a="1"/>
  <c r="D1037" i="1" s="1"/>
  <c r="E1037" i="1" s="1"/>
  <c r="D1038" i="1" a="1"/>
  <c r="D1038" i="1" s="1"/>
  <c r="E1038" i="1" s="1"/>
  <c r="D1039" i="1" a="1"/>
  <c r="D1039" i="1"/>
  <c r="F1039" i="1" s="1"/>
  <c r="D1040" i="1" a="1"/>
  <c r="D1040" i="1" s="1"/>
  <c r="F1040" i="1" s="1"/>
  <c r="D1041" i="1" a="1"/>
  <c r="D1041" i="1" s="1"/>
  <c r="D1042" i="1" a="1"/>
  <c r="D1042" i="1" s="1"/>
  <c r="D1043" i="1" a="1"/>
  <c r="D1043" i="1" s="1"/>
  <c r="D1044" i="1" a="1"/>
  <c r="D1044" i="1" s="1"/>
  <c r="D1045" i="1" a="1"/>
  <c r="D1045" i="1" s="1"/>
  <c r="F1045" i="1" s="1"/>
  <c r="D1046" i="1" a="1"/>
  <c r="D1046" i="1" s="1"/>
  <c r="F1046" i="1" s="1"/>
  <c r="D1047" i="1" a="1"/>
  <c r="D1047" i="1" s="1"/>
  <c r="F1047" i="1" s="1"/>
  <c r="D1048" i="1" a="1"/>
  <c r="D1048" i="1" s="1"/>
  <c r="F1048" i="1" s="1"/>
  <c r="D1049" i="1" a="1"/>
  <c r="D1049" i="1" s="1"/>
  <c r="F1049" i="1" s="1"/>
  <c r="D1050" i="1" a="1"/>
  <c r="D1050" i="1" s="1"/>
  <c r="F1050" i="1" s="1"/>
  <c r="D1051" i="1" a="1"/>
  <c r="D1051" i="1"/>
  <c r="E1051" i="1" s="1"/>
  <c r="D1052" i="1" a="1"/>
  <c r="D1052" i="1" s="1"/>
  <c r="D1053" i="1" a="1"/>
  <c r="D1053" i="1" s="1"/>
  <c r="D1054" i="1" a="1"/>
  <c r="D1054" i="1" s="1"/>
  <c r="D1055" i="1" a="1"/>
  <c r="D1055" i="1" s="1"/>
  <c r="D1056" i="1" a="1"/>
  <c r="D1056" i="1" s="1"/>
  <c r="E1056" i="1" s="1"/>
  <c r="D1057" i="1" a="1"/>
  <c r="D1057" i="1" s="1"/>
  <c r="E1057" i="1" s="1"/>
  <c r="D1058" i="1" a="1"/>
  <c r="D1058" i="1" s="1"/>
  <c r="E1058" i="1" s="1"/>
  <c r="D1059" i="1" a="1"/>
  <c r="D1059" i="1" s="1"/>
  <c r="E1059" i="1" s="1"/>
  <c r="D1060" i="1" a="1"/>
  <c r="D1060" i="1" s="1"/>
  <c r="E1060" i="1" s="1"/>
  <c r="D1061" i="1" a="1"/>
  <c r="D1061" i="1" s="1"/>
  <c r="F1061" i="1" s="1"/>
  <c r="D1062" i="1" a="1"/>
  <c r="D1062" i="1" s="1"/>
  <c r="F1062" i="1" s="1"/>
  <c r="D1063" i="1" a="1"/>
  <c r="D1063" i="1" s="1"/>
  <c r="F1063" i="1" s="1"/>
  <c r="D1064" i="1" a="1"/>
  <c r="D1064" i="1" s="1"/>
  <c r="D1065" i="1" a="1"/>
  <c r="D1065" i="1" s="1"/>
  <c r="D1066" i="1" a="1"/>
  <c r="D1066" i="1" s="1"/>
  <c r="D1067" i="1" a="1"/>
  <c r="D1067" i="1" s="1"/>
  <c r="D1068" i="1" a="1"/>
  <c r="D1068" i="1" s="1"/>
  <c r="D1069" i="1" a="1"/>
  <c r="D1069" i="1" s="1"/>
  <c r="D1070" i="1" a="1"/>
  <c r="D1070" i="1" s="1"/>
  <c r="F1070" i="1" s="1"/>
  <c r="D1071" i="1" a="1"/>
  <c r="D1071" i="1" s="1"/>
  <c r="E1071" i="1" s="1"/>
  <c r="D1072" i="1" a="1"/>
  <c r="D1072" i="1" s="1"/>
  <c r="E1072" i="1" s="1"/>
  <c r="D1073" i="1" a="1"/>
  <c r="D1073" i="1" s="1"/>
  <c r="F1073" i="1" s="1"/>
  <c r="D1074" i="1" a="1"/>
  <c r="D1074" i="1" s="1"/>
  <c r="E1074" i="1" s="1"/>
  <c r="D1075" i="1" a="1"/>
  <c r="D1075" i="1" s="1"/>
  <c r="D1076" i="1" a="1"/>
  <c r="D1076" i="1" s="1"/>
  <c r="D1077" i="1" a="1"/>
  <c r="D1077" i="1" s="1"/>
  <c r="D1078" i="1" a="1"/>
  <c r="D1078" i="1" s="1"/>
  <c r="D1079" i="1" a="1"/>
  <c r="D1079" i="1" s="1"/>
  <c r="D1080" i="1" a="1"/>
  <c r="D1080" i="1" s="1"/>
  <c r="E1080" i="1" s="1"/>
  <c r="D1081" i="1" a="1"/>
  <c r="D1081" i="1" s="1"/>
  <c r="F1081" i="1" s="1"/>
  <c r="D1082" i="1" a="1"/>
  <c r="D1082" i="1" s="1"/>
  <c r="F1082" i="1" s="1"/>
  <c r="D1083" i="1" a="1"/>
  <c r="D1083" i="1" s="1"/>
  <c r="F1083" i="1" s="1"/>
  <c r="D1084" i="1" a="1"/>
  <c r="D1084" i="1" s="1"/>
  <c r="F1084" i="1" s="1"/>
  <c r="D1085" i="1" a="1"/>
  <c r="D1085" i="1" s="1"/>
  <c r="F1085" i="1" s="1"/>
  <c r="D1086" i="1" a="1"/>
  <c r="D1086" i="1" s="1"/>
  <c r="F1086" i="1" s="1"/>
  <c r="D1087" i="1" a="1"/>
  <c r="D1087" i="1" s="1"/>
  <c r="D1088" i="1" a="1"/>
  <c r="D1088" i="1" s="1"/>
  <c r="D1089" i="1" a="1"/>
  <c r="D1089" i="1" s="1"/>
  <c r="D1090" i="1" a="1"/>
  <c r="D1090" i="1" s="1"/>
  <c r="D1091" i="1" a="1"/>
  <c r="D1091" i="1" s="1"/>
  <c r="D1092" i="1" a="1"/>
  <c r="D1092" i="1" s="1"/>
  <c r="E1092" i="1" s="1"/>
  <c r="D1093" i="1" a="1"/>
  <c r="D1093" i="1" s="1"/>
  <c r="E1093" i="1" s="1"/>
  <c r="D1094" i="1" a="1"/>
  <c r="D1094" i="1" s="1"/>
  <c r="E1094" i="1" s="1"/>
  <c r="D1095" i="1" a="1"/>
  <c r="D1095" i="1" s="1"/>
  <c r="E1095" i="1" s="1"/>
  <c r="D1096" i="1" a="1"/>
  <c r="D1096" i="1" s="1"/>
  <c r="E1096" i="1" s="1"/>
  <c r="D1097" i="1" a="1"/>
  <c r="D1097" i="1" s="1"/>
  <c r="F1097" i="1" s="1"/>
  <c r="D1098" i="1" a="1"/>
  <c r="D1098" i="1" s="1"/>
  <c r="F1098" i="1" s="1"/>
  <c r="D1099" i="1" a="1"/>
  <c r="D1099" i="1" s="1"/>
  <c r="D1100" i="1" a="1"/>
  <c r="D1100" i="1" s="1"/>
  <c r="D1101" i="1" a="1"/>
  <c r="D1101" i="1" s="1"/>
  <c r="D1102" i="1" a="1"/>
  <c r="D1102" i="1" s="1"/>
  <c r="D1103" i="1" a="1"/>
  <c r="D1103" i="1" s="1"/>
  <c r="D1104" i="1" a="1"/>
  <c r="D1104" i="1" s="1"/>
  <c r="D1105" i="1" a="1"/>
  <c r="D1105" i="1" s="1"/>
  <c r="D1106" i="1" a="1"/>
  <c r="D1106" i="1" s="1"/>
  <c r="F1106" i="1" s="1"/>
  <c r="D1107" i="1" a="1"/>
  <c r="D1107" i="1" s="1"/>
  <c r="F1107" i="1" s="1"/>
  <c r="D1108" i="1" a="1"/>
  <c r="D1108" i="1" s="1"/>
  <c r="F1108" i="1" s="1"/>
  <c r="D1109" i="1" a="1"/>
  <c r="D1109" i="1" s="1"/>
  <c r="F1109" i="1" s="1"/>
  <c r="D1110" i="1" a="1"/>
  <c r="D1110" i="1" s="1"/>
  <c r="E1110" i="1" s="1"/>
  <c r="D1111" i="1" a="1"/>
  <c r="D1111" i="1" s="1"/>
  <c r="D1112" i="1" a="1"/>
  <c r="D1112" i="1" s="1"/>
  <c r="D1113" i="1" a="1"/>
  <c r="D1113" i="1" s="1"/>
  <c r="D1114" i="1" a="1"/>
  <c r="D1114" i="1" s="1"/>
  <c r="D1115" i="1" a="1"/>
  <c r="D1115" i="1" s="1"/>
  <c r="D1116" i="1" a="1"/>
  <c r="D1116" i="1"/>
  <c r="E1116" i="1" s="1"/>
  <c r="D1117" i="1" a="1"/>
  <c r="D1117" i="1" s="1"/>
  <c r="F1117" i="1" s="1"/>
  <c r="D1118" i="1" a="1"/>
  <c r="D1118" i="1" s="1"/>
  <c r="F1118" i="1" s="1"/>
  <c r="D1119" i="1" a="1"/>
  <c r="D1119" i="1" s="1"/>
  <c r="F1119" i="1" s="1"/>
  <c r="D1120" i="1" a="1"/>
  <c r="D1120" i="1" s="1"/>
  <c r="F1120" i="1" s="1"/>
  <c r="D1121" i="1" a="1"/>
  <c r="D1121" i="1" s="1"/>
  <c r="F1121" i="1" s="1"/>
  <c r="D1122" i="1" a="1"/>
  <c r="D1122" i="1" s="1"/>
  <c r="D1123" i="1" a="1"/>
  <c r="D1123" i="1" s="1"/>
  <c r="D1124" i="1" a="1"/>
  <c r="D1124" i="1" s="1"/>
  <c r="F1124" i="1" s="1"/>
  <c r="D1125" i="1" a="1"/>
  <c r="D1125" i="1" s="1"/>
  <c r="D1126" i="1" a="1"/>
  <c r="D1126" i="1" s="1"/>
  <c r="D1127" i="1" a="1"/>
  <c r="D1127" i="1" s="1"/>
  <c r="D1128" i="1" a="1"/>
  <c r="D1128" i="1" s="1"/>
  <c r="E1128" i="1" s="1"/>
  <c r="D1129" i="1" a="1"/>
  <c r="D1129" i="1" s="1"/>
  <c r="E1129" i="1" s="1"/>
  <c r="D1130" i="1" a="1"/>
  <c r="D1130" i="1" s="1"/>
  <c r="E1130" i="1" s="1"/>
  <c r="D1131" i="1" a="1"/>
  <c r="D1131" i="1" s="1"/>
  <c r="E1131" i="1" s="1"/>
  <c r="D1132" i="1" a="1"/>
  <c r="D1132" i="1" s="1"/>
  <c r="F1132" i="1" s="1"/>
  <c r="D1133" i="1" a="1"/>
  <c r="D1133" i="1" s="1"/>
  <c r="F1133" i="1" s="1"/>
  <c r="D1134" i="1" a="1"/>
  <c r="D1134" i="1" s="1"/>
  <c r="D1135" i="1" a="1"/>
  <c r="D1135" i="1" s="1"/>
  <c r="D1136" i="1" a="1"/>
  <c r="D1136" i="1" s="1"/>
  <c r="F1136" i="1" s="1"/>
  <c r="D1137" i="1" a="1"/>
  <c r="D1137" i="1" s="1"/>
  <c r="D1138" i="1" a="1"/>
  <c r="D1138" i="1" s="1"/>
  <c r="D1139" i="1" a="1"/>
  <c r="D1139" i="1" s="1"/>
  <c r="D1140" i="1" a="1"/>
  <c r="D1140" i="1" s="1"/>
  <c r="D1141" i="1" a="1"/>
  <c r="D1141" i="1" s="1"/>
  <c r="F1141" i="1" s="1"/>
  <c r="D1142" i="1" a="1"/>
  <c r="D1142" i="1" s="1"/>
  <c r="F1142" i="1" s="1"/>
  <c r="D1143" i="1" a="1"/>
  <c r="D1143" i="1" s="1"/>
  <c r="E1143" i="1" s="1"/>
  <c r="D1144" i="1" a="1"/>
  <c r="D1144" i="1" s="1"/>
  <c r="E1144" i="1" s="1"/>
  <c r="D2" i="1" a="1"/>
  <c r="D2" i="1" s="1"/>
  <c r="E2" i="1" s="1"/>
  <c r="E1168" i="1" l="1"/>
  <c r="F1168" i="1"/>
  <c r="E1203" i="1"/>
  <c r="F1203" i="1"/>
  <c r="E1155" i="1"/>
  <c r="F1155" i="1"/>
  <c r="F1154" i="1"/>
  <c r="E1154" i="1"/>
  <c r="E1212" i="1"/>
  <c r="F1212" i="1"/>
  <c r="E1200" i="1"/>
  <c r="F1200" i="1"/>
  <c r="E1188" i="1"/>
  <c r="F1188" i="1"/>
  <c r="E1176" i="1"/>
  <c r="F1176" i="1"/>
  <c r="E1164" i="1"/>
  <c r="F1164" i="1"/>
  <c r="E1152" i="1"/>
  <c r="F1152" i="1"/>
  <c r="F1211" i="1"/>
  <c r="E1211" i="1"/>
  <c r="E1199" i="1"/>
  <c r="F1199" i="1"/>
  <c r="F1187" i="1"/>
  <c r="E1187" i="1"/>
  <c r="F1175" i="1"/>
  <c r="E1175" i="1"/>
  <c r="F1163" i="1"/>
  <c r="E1163" i="1"/>
  <c r="E1151" i="1"/>
  <c r="F1151" i="1"/>
  <c r="E1201" i="1"/>
  <c r="F1201" i="1"/>
  <c r="E1174" i="1"/>
  <c r="F1174" i="1"/>
  <c r="E1209" i="1"/>
  <c r="F1209" i="1"/>
  <c r="E1197" i="1"/>
  <c r="F1197" i="1"/>
  <c r="E1185" i="1"/>
  <c r="F1185" i="1"/>
  <c r="E1173" i="1"/>
  <c r="F1173" i="1"/>
  <c r="E1161" i="1"/>
  <c r="F1161" i="1"/>
  <c r="E1149" i="1"/>
  <c r="F1149" i="1"/>
  <c r="E1156" i="1"/>
  <c r="F1156" i="1"/>
  <c r="E1167" i="1"/>
  <c r="F1167" i="1"/>
  <c r="F1166" i="1"/>
  <c r="E1166" i="1"/>
  <c r="E1189" i="1"/>
  <c r="F1189" i="1"/>
  <c r="E1210" i="1"/>
  <c r="F1210" i="1"/>
  <c r="E1198" i="1"/>
  <c r="F1198" i="1"/>
  <c r="E1186" i="1"/>
  <c r="F1186" i="1"/>
  <c r="E1150" i="1"/>
  <c r="F1150" i="1"/>
  <c r="E1208" i="1"/>
  <c r="F1208" i="1"/>
  <c r="F1196" i="1"/>
  <c r="E1196" i="1"/>
  <c r="F1184" i="1"/>
  <c r="E1184" i="1"/>
  <c r="F1172" i="1"/>
  <c r="E1172" i="1"/>
  <c r="F1160" i="1"/>
  <c r="E1160" i="1"/>
  <c r="F1148" i="1"/>
  <c r="E1148" i="1"/>
  <c r="E1192" i="1"/>
  <c r="F1192" i="1"/>
  <c r="E1191" i="1"/>
  <c r="F1191" i="1"/>
  <c r="F1178" i="1"/>
  <c r="E1178" i="1"/>
  <c r="E1153" i="1"/>
  <c r="F1153" i="1"/>
  <c r="E1162" i="1"/>
  <c r="F1162" i="1"/>
  <c r="E1207" i="1"/>
  <c r="F1207" i="1"/>
  <c r="E1195" i="1"/>
  <c r="F1195" i="1"/>
  <c r="E1183" i="1"/>
  <c r="F1183" i="1"/>
  <c r="E1171" i="1"/>
  <c r="F1171" i="1"/>
  <c r="E1159" i="1"/>
  <c r="F1159" i="1"/>
  <c r="E1147" i="1"/>
  <c r="F1147" i="1"/>
  <c r="E1204" i="1"/>
  <c r="F1204" i="1"/>
  <c r="F1202" i="1"/>
  <c r="E1202" i="1"/>
  <c r="E1177" i="1"/>
  <c r="F1177" i="1"/>
  <c r="E1206" i="1"/>
  <c r="F1206" i="1"/>
  <c r="E1194" i="1"/>
  <c r="F1194" i="1"/>
  <c r="E1182" i="1"/>
  <c r="F1182" i="1"/>
  <c r="E1170" i="1"/>
  <c r="F1170" i="1"/>
  <c r="E1158" i="1"/>
  <c r="F1158" i="1"/>
  <c r="E1146" i="1"/>
  <c r="F1146" i="1"/>
  <c r="E1180" i="1"/>
  <c r="F1180" i="1"/>
  <c r="E1179" i="1"/>
  <c r="F1179" i="1"/>
  <c r="F1190" i="1"/>
  <c r="E1190" i="1"/>
  <c r="E1165" i="1"/>
  <c r="F1165" i="1"/>
  <c r="F1205" i="1"/>
  <c r="E1205" i="1"/>
  <c r="F1193" i="1"/>
  <c r="E1193" i="1"/>
  <c r="F1181" i="1"/>
  <c r="E1181" i="1"/>
  <c r="F1169" i="1"/>
  <c r="E1169" i="1"/>
  <c r="F1157" i="1"/>
  <c r="E1157" i="1"/>
  <c r="E1145" i="1"/>
  <c r="F1145" i="1"/>
  <c r="F839" i="1"/>
  <c r="E839" i="1"/>
  <c r="F152" i="1"/>
  <c r="E152" i="1"/>
  <c r="F46" i="1"/>
  <c r="E46" i="1"/>
  <c r="F954" i="1"/>
  <c r="E954" i="1"/>
  <c r="F246" i="1"/>
  <c r="E246" i="1"/>
  <c r="F987" i="1"/>
  <c r="E987" i="1"/>
  <c r="F1043" i="1"/>
  <c r="E1043" i="1"/>
  <c r="F387" i="1"/>
  <c r="E387" i="1"/>
  <c r="F363" i="1"/>
  <c r="E363" i="1"/>
  <c r="F351" i="1"/>
  <c r="E351" i="1"/>
  <c r="E81" i="1"/>
  <c r="E862" i="1"/>
  <c r="F862" i="1"/>
  <c r="F116" i="1"/>
  <c r="E116" i="1"/>
  <c r="F34" i="1"/>
  <c r="E34" i="1"/>
  <c r="F306" i="1"/>
  <c r="E306" i="1"/>
  <c r="F222" i="1"/>
  <c r="E222" i="1"/>
  <c r="F953" i="1"/>
  <c r="E953" i="1"/>
  <c r="F423" i="1"/>
  <c r="E423" i="1"/>
  <c r="F1053" i="1"/>
  <c r="E1053" i="1"/>
  <c r="F564" i="1"/>
  <c r="E564" i="1"/>
  <c r="F552" i="1"/>
  <c r="E552" i="1"/>
  <c r="E540" i="1"/>
  <c r="F540" i="1"/>
  <c r="F528" i="1"/>
  <c r="E528" i="1"/>
  <c r="F517" i="1"/>
  <c r="E517" i="1"/>
  <c r="E505" i="1"/>
  <c r="F505" i="1"/>
  <c r="F493" i="1"/>
  <c r="E493" i="1"/>
  <c r="F470" i="1"/>
  <c r="E470" i="1"/>
  <c r="F458" i="1"/>
  <c r="E458" i="1"/>
  <c r="E22" i="1"/>
  <c r="F913" i="1"/>
  <c r="F874" i="1"/>
  <c r="E874" i="1"/>
  <c r="F105" i="1"/>
  <c r="E105" i="1"/>
  <c r="F1000" i="1"/>
  <c r="E1000" i="1"/>
  <c r="F318" i="1"/>
  <c r="E318" i="1"/>
  <c r="F234" i="1"/>
  <c r="E234" i="1"/>
  <c r="F964" i="1"/>
  <c r="E964" i="1"/>
  <c r="F435" i="1"/>
  <c r="E435" i="1"/>
  <c r="F1031" i="1"/>
  <c r="E1031" i="1"/>
  <c r="E1020" i="1"/>
  <c r="F1020" i="1"/>
  <c r="F822" i="1"/>
  <c r="E822" i="1"/>
  <c r="F632" i="1"/>
  <c r="E632" i="1"/>
  <c r="F1112" i="1"/>
  <c r="E1112" i="1"/>
  <c r="F703" i="1"/>
  <c r="E703" i="1"/>
  <c r="F621" i="1"/>
  <c r="E621" i="1"/>
  <c r="E609" i="1"/>
  <c r="F609" i="1"/>
  <c r="F597" i="1"/>
  <c r="E597" i="1"/>
  <c r="F575" i="1"/>
  <c r="E575" i="1"/>
  <c r="E563" i="1"/>
  <c r="F563" i="1"/>
  <c r="F551" i="1"/>
  <c r="E551" i="1"/>
  <c r="E516" i="1"/>
  <c r="F516" i="1"/>
  <c r="E480" i="1"/>
  <c r="F480" i="1"/>
  <c r="F469" i="1"/>
  <c r="E469" i="1"/>
  <c r="F897" i="1"/>
  <c r="E897" i="1"/>
  <c r="F188" i="1"/>
  <c r="E188" i="1"/>
  <c r="E140" i="1"/>
  <c r="F140" i="1"/>
  <c r="F70" i="1"/>
  <c r="E70" i="1"/>
  <c r="F329" i="1"/>
  <c r="E329" i="1"/>
  <c r="F270" i="1"/>
  <c r="E270" i="1"/>
  <c r="E1011" i="1"/>
  <c r="F1011" i="1"/>
  <c r="E718" i="1"/>
  <c r="F718" i="1"/>
  <c r="E447" i="1"/>
  <c r="F447" i="1"/>
  <c r="F1065" i="1"/>
  <c r="E1065" i="1"/>
  <c r="E610" i="1"/>
  <c r="F610" i="1"/>
  <c r="F1135" i="1"/>
  <c r="E1135" i="1"/>
  <c r="F1076" i="1"/>
  <c r="E1076" i="1"/>
  <c r="F691" i="1"/>
  <c r="E691" i="1"/>
  <c r="F643" i="1"/>
  <c r="E643" i="1"/>
  <c r="F1111" i="1"/>
  <c r="E1111" i="1"/>
  <c r="F750" i="1"/>
  <c r="E750" i="1"/>
  <c r="F702" i="1"/>
  <c r="E702" i="1"/>
  <c r="F654" i="1"/>
  <c r="E654" i="1"/>
  <c r="F785" i="1"/>
  <c r="E785" i="1"/>
  <c r="F749" i="1"/>
  <c r="E749" i="1"/>
  <c r="F737" i="1"/>
  <c r="E737" i="1"/>
  <c r="E977" i="1"/>
  <c r="F909" i="1"/>
  <c r="E909" i="1"/>
  <c r="E827" i="1"/>
  <c r="F827" i="1"/>
  <c r="E176" i="1"/>
  <c r="F176" i="1"/>
  <c r="E93" i="1"/>
  <c r="F93" i="1"/>
  <c r="F10" i="1"/>
  <c r="E10" i="1"/>
  <c r="F1068" i="1"/>
  <c r="E1068" i="1"/>
  <c r="F965" i="1"/>
  <c r="E965" i="1"/>
  <c r="F930" i="1"/>
  <c r="E930" i="1"/>
  <c r="F210" i="1"/>
  <c r="E210" i="1"/>
  <c r="E1044" i="1"/>
  <c r="F1044" i="1"/>
  <c r="F1021" i="1"/>
  <c r="E1021" i="1"/>
  <c r="F644" i="1"/>
  <c r="E644" i="1"/>
  <c r="F576" i="1"/>
  <c r="E576" i="1"/>
  <c r="F1088" i="1"/>
  <c r="E1088" i="1"/>
  <c r="F715" i="1"/>
  <c r="E715" i="1"/>
  <c r="F655" i="1"/>
  <c r="E655" i="1"/>
  <c r="F1122" i="1"/>
  <c r="E1122" i="1"/>
  <c r="F1075" i="1"/>
  <c r="E1075" i="1"/>
  <c r="F914" i="1"/>
  <c r="E914" i="1"/>
  <c r="F714" i="1"/>
  <c r="E714" i="1"/>
  <c r="F678" i="1"/>
  <c r="E678" i="1"/>
  <c r="F773" i="1"/>
  <c r="E773" i="1"/>
  <c r="F1005" i="1"/>
  <c r="E1005" i="1"/>
  <c r="F808" i="1"/>
  <c r="E808" i="1"/>
  <c r="F784" i="1"/>
  <c r="E784" i="1"/>
  <c r="F772" i="1"/>
  <c r="E772" i="1"/>
  <c r="F760" i="1"/>
  <c r="E760" i="1"/>
  <c r="F334" i="1"/>
  <c r="E334" i="1"/>
  <c r="E885" i="1"/>
  <c r="F885" i="1"/>
  <c r="F920" i="1"/>
  <c r="E920" i="1"/>
  <c r="E128" i="1"/>
  <c r="F128" i="1"/>
  <c r="F58" i="1"/>
  <c r="E58" i="1"/>
  <c r="F988" i="1"/>
  <c r="E988" i="1"/>
  <c r="F919" i="1"/>
  <c r="E919" i="1"/>
  <c r="E647" i="1"/>
  <c r="F647" i="1"/>
  <c r="F341" i="1"/>
  <c r="E341" i="1"/>
  <c r="F258" i="1"/>
  <c r="E258" i="1"/>
  <c r="F999" i="1"/>
  <c r="E999" i="1"/>
  <c r="F340" i="1"/>
  <c r="E340" i="1"/>
  <c r="F1010" i="1"/>
  <c r="E1010" i="1"/>
  <c r="E375" i="1"/>
  <c r="F375" i="1"/>
  <c r="F622" i="1"/>
  <c r="E622" i="1"/>
  <c r="E1123" i="1"/>
  <c r="F1123" i="1"/>
  <c r="F1064" i="1"/>
  <c r="E1064" i="1"/>
  <c r="F679" i="1"/>
  <c r="E679" i="1"/>
  <c r="F1099" i="1"/>
  <c r="E1099" i="1"/>
  <c r="F738" i="1"/>
  <c r="E738" i="1"/>
  <c r="F690" i="1"/>
  <c r="E690" i="1"/>
  <c r="F666" i="1"/>
  <c r="E666" i="1"/>
  <c r="F819" i="1"/>
  <c r="E819" i="1"/>
  <c r="F796" i="1"/>
  <c r="E796" i="1"/>
  <c r="F1016" i="1"/>
  <c r="E1016" i="1"/>
  <c r="F818" i="1"/>
  <c r="E818" i="1"/>
  <c r="F807" i="1"/>
  <c r="E807" i="1"/>
  <c r="F191" i="1"/>
  <c r="E191" i="1"/>
  <c r="F863" i="1"/>
  <c r="E850" i="1"/>
  <c r="F850" i="1"/>
  <c r="E164" i="1"/>
  <c r="F164" i="1"/>
  <c r="F942" i="1"/>
  <c r="E942" i="1"/>
  <c r="F282" i="1"/>
  <c r="E282" i="1"/>
  <c r="F199" i="1"/>
  <c r="E199" i="1"/>
  <c r="F976" i="1"/>
  <c r="E976" i="1"/>
  <c r="F1032" i="1"/>
  <c r="E1032" i="1"/>
  <c r="F411" i="1"/>
  <c r="E411" i="1"/>
  <c r="F1042" i="1"/>
  <c r="E1042" i="1"/>
  <c r="F598" i="1"/>
  <c r="E598" i="1"/>
  <c r="F587" i="1"/>
  <c r="E587" i="1"/>
  <c r="F1100" i="1"/>
  <c r="E1100" i="1"/>
  <c r="F1052" i="1"/>
  <c r="E1052" i="1"/>
  <c r="F751" i="1"/>
  <c r="E751" i="1"/>
  <c r="F667" i="1"/>
  <c r="E667" i="1"/>
  <c r="F1134" i="1"/>
  <c r="E1134" i="1"/>
  <c r="E1087" i="1"/>
  <c r="F1087" i="1"/>
  <c r="F726" i="1"/>
  <c r="E726" i="1"/>
  <c r="F910" i="1"/>
  <c r="E910" i="1"/>
  <c r="F898" i="1"/>
  <c r="E898" i="1"/>
  <c r="E886" i="1"/>
  <c r="F886" i="1"/>
  <c r="F875" i="1"/>
  <c r="E875" i="1"/>
  <c r="E851" i="1"/>
  <c r="F851" i="1"/>
  <c r="E828" i="1"/>
  <c r="F828" i="1"/>
  <c r="F209" i="1"/>
  <c r="E209" i="1"/>
  <c r="F139" i="1"/>
  <c r="E139" i="1"/>
  <c r="F33" i="1"/>
  <c r="E33" i="1"/>
  <c r="E293" i="1"/>
  <c r="F838" i="1"/>
  <c r="E838" i="1"/>
  <c r="F586" i="1"/>
  <c r="E586" i="1"/>
  <c r="F468" i="1"/>
  <c r="E468" i="1"/>
  <c r="F138" i="1"/>
  <c r="E138" i="1"/>
  <c r="F1029" i="1"/>
  <c r="E1029" i="1"/>
  <c r="F549" i="1"/>
  <c r="E549" i="1"/>
  <c r="F478" i="1"/>
  <c r="E478" i="1"/>
  <c r="F360" i="1"/>
  <c r="E360" i="1"/>
  <c r="F410" i="1"/>
  <c r="E410" i="1"/>
  <c r="F151" i="1"/>
  <c r="E151" i="1"/>
  <c r="F69" i="1"/>
  <c r="E69" i="1"/>
  <c r="E826" i="1"/>
  <c r="F826" i="1"/>
  <c r="F338" i="1"/>
  <c r="E338" i="1"/>
  <c r="F174" i="1"/>
  <c r="E174" i="1"/>
  <c r="F79" i="1"/>
  <c r="E79" i="1"/>
  <c r="F420" i="1"/>
  <c r="E420" i="1"/>
  <c r="F348" i="1"/>
  <c r="E348" i="1"/>
  <c r="F137" i="1"/>
  <c r="E137" i="1"/>
  <c r="F815" i="1"/>
  <c r="E815" i="1"/>
  <c r="F371" i="1"/>
  <c r="E371" i="1"/>
  <c r="F314" i="1"/>
  <c r="E314" i="1"/>
  <c r="F230" i="1"/>
  <c r="E230" i="1"/>
  <c r="F89" i="1"/>
  <c r="E89" i="1"/>
  <c r="F77" i="1"/>
  <c r="E77" i="1"/>
  <c r="F1017" i="1"/>
  <c r="E1017" i="1"/>
  <c r="F442" i="1"/>
  <c r="E442" i="1"/>
  <c r="F382" i="1"/>
  <c r="E382" i="1"/>
  <c r="F29" i="1"/>
  <c r="E29" i="1"/>
  <c r="F983" i="1"/>
  <c r="E983" i="1"/>
  <c r="F802" i="1"/>
  <c r="E802" i="1"/>
  <c r="F791" i="1"/>
  <c r="E791" i="1"/>
  <c r="F767" i="1"/>
  <c r="E767" i="1"/>
  <c r="F744" i="1"/>
  <c r="E744" i="1"/>
  <c r="F441" i="1"/>
  <c r="E441" i="1"/>
  <c r="F405" i="1"/>
  <c r="E405" i="1"/>
  <c r="F381" i="1"/>
  <c r="E381" i="1"/>
  <c r="F369" i="1"/>
  <c r="E369" i="1"/>
  <c r="F357" i="1"/>
  <c r="E357" i="1"/>
  <c r="F312" i="1"/>
  <c r="E312" i="1"/>
  <c r="F276" i="1"/>
  <c r="E276" i="1"/>
  <c r="F252" i="1"/>
  <c r="E252" i="1"/>
  <c r="F240" i="1"/>
  <c r="E240" i="1"/>
  <c r="F228" i="1"/>
  <c r="E228" i="1"/>
  <c r="F193" i="1"/>
  <c r="E193" i="1"/>
  <c r="F170" i="1"/>
  <c r="E170" i="1"/>
  <c r="F134" i="1"/>
  <c r="E134" i="1"/>
  <c r="F99" i="1"/>
  <c r="E99" i="1"/>
  <c r="F64" i="1"/>
  <c r="E64" i="1"/>
  <c r="F28" i="1"/>
  <c r="E28" i="1"/>
  <c r="E1039" i="1"/>
  <c r="E1023" i="1"/>
  <c r="E1003" i="1"/>
  <c r="E967" i="1"/>
  <c r="E951" i="1"/>
  <c r="E931" i="1"/>
  <c r="E915" i="1"/>
  <c r="E895" i="1"/>
  <c r="E879" i="1"/>
  <c r="E859" i="1"/>
  <c r="E843" i="1"/>
  <c r="E823" i="1"/>
  <c r="E787" i="1"/>
  <c r="E735" i="1"/>
  <c r="E699" i="1"/>
  <c r="E663" i="1"/>
  <c r="E627" i="1"/>
  <c r="E607" i="1"/>
  <c r="E591" i="1"/>
  <c r="E571" i="1"/>
  <c r="E553" i="1"/>
  <c r="E532" i="1"/>
  <c r="E510" i="1"/>
  <c r="E471" i="1"/>
  <c r="E449" i="1"/>
  <c r="E427" i="1"/>
  <c r="E409" i="1"/>
  <c r="E388" i="1"/>
  <c r="E366" i="1"/>
  <c r="E327" i="1"/>
  <c r="E305" i="1"/>
  <c r="E283" i="1"/>
  <c r="E244" i="1"/>
  <c r="E219" i="1"/>
  <c r="E189" i="1"/>
  <c r="E160" i="1"/>
  <c r="E130" i="1"/>
  <c r="E96" i="1"/>
  <c r="E3" i="1"/>
  <c r="F1116" i="1"/>
  <c r="F1057" i="1"/>
  <c r="F985" i="1"/>
  <c r="F936" i="1"/>
  <c r="F840" i="1"/>
  <c r="F795" i="1"/>
  <c r="F753" i="1"/>
  <c r="F661" i="1"/>
  <c r="F612" i="1"/>
  <c r="F562" i="1"/>
  <c r="F429" i="1"/>
  <c r="F288" i="1"/>
  <c r="F238" i="1"/>
  <c r="F192" i="1"/>
  <c r="F146" i="1"/>
  <c r="F492" i="1"/>
  <c r="E492" i="1"/>
  <c r="F422" i="1"/>
  <c r="E422" i="1"/>
  <c r="F350" i="1"/>
  <c r="E350" i="1"/>
  <c r="F163" i="1"/>
  <c r="E163" i="1"/>
  <c r="F80" i="1"/>
  <c r="E80" i="1"/>
  <c r="E21" i="1"/>
  <c r="F1030" i="1"/>
  <c r="E1030" i="1"/>
  <c r="F574" i="1"/>
  <c r="E574" i="1"/>
  <c r="F515" i="1"/>
  <c r="E515" i="1"/>
  <c r="F150" i="1"/>
  <c r="E150" i="1"/>
  <c r="F91" i="1"/>
  <c r="E91" i="1"/>
  <c r="E56" i="1"/>
  <c r="F56" i="1"/>
  <c r="E631" i="1"/>
  <c r="F1008" i="1"/>
  <c r="E1008" i="1"/>
  <c r="E526" i="1"/>
  <c r="F526" i="1"/>
  <c r="F467" i="1"/>
  <c r="E467" i="1"/>
  <c r="F207" i="1"/>
  <c r="E207" i="1"/>
  <c r="F161" i="1"/>
  <c r="E161" i="1"/>
  <c r="F102" i="1"/>
  <c r="E102" i="1"/>
  <c r="F55" i="1"/>
  <c r="E55" i="1"/>
  <c r="F443" i="1"/>
  <c r="E443" i="1"/>
  <c r="F336" i="1"/>
  <c r="E336" i="1"/>
  <c r="F206" i="1"/>
  <c r="E206" i="1"/>
  <c r="F172" i="1"/>
  <c r="E172" i="1"/>
  <c r="F101" i="1"/>
  <c r="E101" i="1"/>
  <c r="F42" i="1"/>
  <c r="E42" i="1"/>
  <c r="F18" i="1"/>
  <c r="E18" i="1"/>
  <c r="E1097" i="1"/>
  <c r="E917" i="1"/>
  <c r="E701" i="1"/>
  <c r="E196" i="1"/>
  <c r="F896" i="1"/>
  <c r="F805" i="1"/>
  <c r="F527" i="1"/>
  <c r="F1006" i="1"/>
  <c r="E1006" i="1"/>
  <c r="F780" i="1"/>
  <c r="E780" i="1"/>
  <c r="E418" i="1"/>
  <c r="F418" i="1"/>
  <c r="F370" i="1"/>
  <c r="E370" i="1"/>
  <c r="F53" i="1"/>
  <c r="E53" i="1"/>
  <c r="E664" i="1"/>
  <c r="F1140" i="1"/>
  <c r="E1140" i="1"/>
  <c r="F801" i="1"/>
  <c r="E801" i="1"/>
  <c r="F708" i="1"/>
  <c r="E708" i="1"/>
  <c r="F660" i="1"/>
  <c r="E660" i="1"/>
  <c r="F27" i="1"/>
  <c r="E27" i="1"/>
  <c r="E986" i="1"/>
  <c r="E894" i="1"/>
  <c r="E858" i="1"/>
  <c r="E806" i="1"/>
  <c r="E770" i="1"/>
  <c r="E734" i="1"/>
  <c r="E698" i="1"/>
  <c r="E662" i="1"/>
  <c r="E642" i="1"/>
  <c r="E606" i="1"/>
  <c r="E548" i="1"/>
  <c r="E404" i="1"/>
  <c r="E325" i="1"/>
  <c r="E304" i="1"/>
  <c r="E243" i="1"/>
  <c r="E218" i="1"/>
  <c r="E184" i="1"/>
  <c r="F2" i="1"/>
  <c r="F972" i="1"/>
  <c r="F935" i="1"/>
  <c r="F793" i="1"/>
  <c r="F648" i="1"/>
  <c r="F561" i="1"/>
  <c r="F374" i="1"/>
  <c r="F287" i="1"/>
  <c r="F183" i="1"/>
  <c r="F92" i="1"/>
  <c r="F1139" i="1"/>
  <c r="E1139" i="1"/>
  <c r="F1127" i="1"/>
  <c r="E1127" i="1"/>
  <c r="F1104" i="1"/>
  <c r="E1104" i="1"/>
  <c r="F981" i="1"/>
  <c r="E981" i="1"/>
  <c r="E958" i="1"/>
  <c r="F958" i="1"/>
  <c r="F946" i="1"/>
  <c r="E946" i="1"/>
  <c r="E934" i="1"/>
  <c r="F934" i="1"/>
  <c r="F923" i="1"/>
  <c r="E923" i="1"/>
  <c r="F789" i="1"/>
  <c r="E789" i="1"/>
  <c r="F765" i="1"/>
  <c r="E765" i="1"/>
  <c r="E742" i="1"/>
  <c r="F742" i="1"/>
  <c r="F730" i="1"/>
  <c r="E730" i="1"/>
  <c r="F707" i="1"/>
  <c r="E707" i="1"/>
  <c r="F695" i="1"/>
  <c r="E695" i="1"/>
  <c r="F683" i="1"/>
  <c r="E683" i="1"/>
  <c r="F659" i="1"/>
  <c r="E659" i="1"/>
  <c r="F636" i="1"/>
  <c r="E636" i="1"/>
  <c r="F333" i="1"/>
  <c r="E333" i="1"/>
  <c r="E310" i="1"/>
  <c r="F310" i="1"/>
  <c r="F298" i="1"/>
  <c r="E298" i="1"/>
  <c r="E286" i="1"/>
  <c r="F286" i="1"/>
  <c r="F274" i="1"/>
  <c r="E274" i="1"/>
  <c r="F262" i="1"/>
  <c r="E262" i="1"/>
  <c r="F250" i="1"/>
  <c r="E250" i="1"/>
  <c r="F226" i="1"/>
  <c r="E226" i="1"/>
  <c r="F85" i="1"/>
  <c r="E85" i="1"/>
  <c r="F62" i="1"/>
  <c r="E62" i="1"/>
  <c r="F26" i="1"/>
  <c r="E26" i="1"/>
  <c r="E1109" i="1"/>
  <c r="E1073" i="1"/>
  <c r="E1001" i="1"/>
  <c r="E949" i="1"/>
  <c r="E929" i="1"/>
  <c r="E893" i="1"/>
  <c r="E877" i="1"/>
  <c r="E857" i="1"/>
  <c r="E841" i="1"/>
  <c r="E821" i="1"/>
  <c r="E733" i="1"/>
  <c r="E713" i="1"/>
  <c r="E697" i="1"/>
  <c r="E677" i="1"/>
  <c r="E641" i="1"/>
  <c r="E625" i="1"/>
  <c r="E605" i="1"/>
  <c r="E569" i="1"/>
  <c r="E547" i="1"/>
  <c r="E529" i="1"/>
  <c r="E508" i="1"/>
  <c r="E486" i="1"/>
  <c r="E464" i="1"/>
  <c r="E425" i="1"/>
  <c r="E403" i="1"/>
  <c r="E385" i="1"/>
  <c r="E364" i="1"/>
  <c r="E342" i="1"/>
  <c r="E320" i="1"/>
  <c r="E303" i="1"/>
  <c r="E281" i="1"/>
  <c r="E259" i="1"/>
  <c r="E241" i="1"/>
  <c r="E217" i="1"/>
  <c r="E153" i="1"/>
  <c r="E124" i="1"/>
  <c r="E60" i="1"/>
  <c r="F1144" i="1"/>
  <c r="F1110" i="1"/>
  <c r="F1080" i="1"/>
  <c r="F1051" i="1"/>
  <c r="F971" i="1"/>
  <c r="F933" i="1"/>
  <c r="F743" i="1"/>
  <c r="F506" i="1"/>
  <c r="F419" i="1"/>
  <c r="F373" i="1"/>
  <c r="F323" i="1"/>
  <c r="F285" i="1"/>
  <c r="F236" i="1"/>
  <c r="F182" i="1"/>
  <c r="F87" i="1"/>
  <c r="F434" i="1"/>
  <c r="E434" i="1"/>
  <c r="F362" i="1"/>
  <c r="E362" i="1"/>
  <c r="F175" i="1"/>
  <c r="E175" i="1"/>
  <c r="F456" i="1"/>
  <c r="E456" i="1"/>
  <c r="F197" i="1"/>
  <c r="E197" i="1"/>
  <c r="F126" i="1"/>
  <c r="E126" i="1"/>
  <c r="F44" i="1"/>
  <c r="E44" i="1"/>
  <c r="E975" i="1"/>
  <c r="F837" i="1"/>
  <c r="E837" i="1"/>
  <c r="F585" i="1"/>
  <c r="E585" i="1"/>
  <c r="F514" i="1"/>
  <c r="E514" i="1"/>
  <c r="F326" i="1"/>
  <c r="E326" i="1"/>
  <c r="F149" i="1"/>
  <c r="E149" i="1"/>
  <c r="F90" i="1"/>
  <c r="E90" i="1"/>
  <c r="F43" i="1"/>
  <c r="E43" i="1"/>
  <c r="F1018" i="1"/>
  <c r="E1018" i="1"/>
  <c r="F489" i="1"/>
  <c r="E489" i="1"/>
  <c r="F383" i="1"/>
  <c r="E383" i="1"/>
  <c r="F278" i="1"/>
  <c r="E278" i="1"/>
  <c r="F113" i="1"/>
  <c r="E113" i="1"/>
  <c r="F30" i="1"/>
  <c r="E30" i="1"/>
  <c r="F6" i="1"/>
  <c r="E6" i="1"/>
  <c r="E1133" i="1"/>
  <c r="E1061" i="1"/>
  <c r="E1009" i="1"/>
  <c r="E973" i="1"/>
  <c r="E757" i="1"/>
  <c r="E665" i="1"/>
  <c r="E433" i="1"/>
  <c r="E268" i="1"/>
  <c r="E221" i="1"/>
  <c r="E9" i="1"/>
  <c r="F572" i="1"/>
  <c r="F431" i="1"/>
  <c r="F290" i="1"/>
  <c r="F814" i="1"/>
  <c r="E814" i="1"/>
  <c r="F768" i="1"/>
  <c r="E768" i="1"/>
  <c r="F358" i="1"/>
  <c r="E358" i="1"/>
  <c r="F100" i="1"/>
  <c r="E100" i="1"/>
  <c r="F41" i="1"/>
  <c r="E41" i="1"/>
  <c r="F982" i="1"/>
  <c r="E982" i="1"/>
  <c r="F947" i="1"/>
  <c r="E947" i="1"/>
  <c r="F813" i="1"/>
  <c r="E813" i="1"/>
  <c r="F766" i="1"/>
  <c r="E766" i="1"/>
  <c r="F672" i="1"/>
  <c r="E672" i="1"/>
  <c r="F299" i="1"/>
  <c r="E299" i="1"/>
  <c r="F251" i="1"/>
  <c r="E251" i="1"/>
  <c r="F1138" i="1"/>
  <c r="E1138" i="1"/>
  <c r="F1103" i="1"/>
  <c r="E1103" i="1"/>
  <c r="F1091" i="1"/>
  <c r="E1091" i="1"/>
  <c r="F1079" i="1"/>
  <c r="E1079" i="1"/>
  <c r="F945" i="1"/>
  <c r="E945" i="1"/>
  <c r="F922" i="1"/>
  <c r="E922" i="1"/>
  <c r="F729" i="1"/>
  <c r="E729" i="1"/>
  <c r="F706" i="1"/>
  <c r="E706" i="1"/>
  <c r="F694" i="1"/>
  <c r="E694" i="1"/>
  <c r="F682" i="1"/>
  <c r="E682" i="1"/>
  <c r="F658" i="1"/>
  <c r="E658" i="1"/>
  <c r="F297" i="1"/>
  <c r="E297" i="1"/>
  <c r="F273" i="1"/>
  <c r="E273" i="1"/>
  <c r="F261" i="1"/>
  <c r="E261" i="1"/>
  <c r="F249" i="1"/>
  <c r="E249" i="1"/>
  <c r="F225" i="1"/>
  <c r="E225" i="1"/>
  <c r="F155" i="1"/>
  <c r="E155" i="1"/>
  <c r="F143" i="1"/>
  <c r="E143" i="1"/>
  <c r="F119" i="1"/>
  <c r="E119" i="1"/>
  <c r="F49" i="1"/>
  <c r="E49" i="1"/>
  <c r="F13" i="1"/>
  <c r="E13" i="1"/>
  <c r="E1124" i="1"/>
  <c r="E1108" i="1"/>
  <c r="E980" i="1"/>
  <c r="E944" i="1"/>
  <c r="E928" i="1"/>
  <c r="E908" i="1"/>
  <c r="E892" i="1"/>
  <c r="E872" i="1"/>
  <c r="E856" i="1"/>
  <c r="E836" i="1"/>
  <c r="E820" i="1"/>
  <c r="E800" i="1"/>
  <c r="E764" i="1"/>
  <c r="E748" i="1"/>
  <c r="E728" i="1"/>
  <c r="E712" i="1"/>
  <c r="E692" i="1"/>
  <c r="E676" i="1"/>
  <c r="E656" i="1"/>
  <c r="E640" i="1"/>
  <c r="E620" i="1"/>
  <c r="E604" i="1"/>
  <c r="E584" i="1"/>
  <c r="E568" i="1"/>
  <c r="E546" i="1"/>
  <c r="E524" i="1"/>
  <c r="E485" i="1"/>
  <c r="E463" i="1"/>
  <c r="E445" i="1"/>
  <c r="E424" i="1"/>
  <c r="E402" i="1"/>
  <c r="E319" i="1"/>
  <c r="E301" i="1"/>
  <c r="E280" i="1"/>
  <c r="E216" i="1"/>
  <c r="E148" i="1"/>
  <c r="E25" i="1"/>
  <c r="F1143" i="1"/>
  <c r="F970" i="1"/>
  <c r="F779" i="1"/>
  <c r="F741" i="1"/>
  <c r="F696" i="1"/>
  <c r="F646" i="1"/>
  <c r="F455" i="1"/>
  <c r="F417" i="1"/>
  <c r="F372" i="1"/>
  <c r="F322" i="1"/>
  <c r="F181" i="1"/>
  <c r="F84" i="1"/>
  <c r="F32" i="1"/>
  <c r="F386" i="1"/>
  <c r="E386" i="1"/>
  <c r="F187" i="1"/>
  <c r="E187" i="1"/>
  <c r="F479" i="1"/>
  <c r="E479" i="1"/>
  <c r="F208" i="1"/>
  <c r="E208" i="1"/>
  <c r="F162" i="1"/>
  <c r="E162" i="1"/>
  <c r="F8" i="1"/>
  <c r="E8" i="1"/>
  <c r="E292" i="1"/>
  <c r="E45" i="1"/>
  <c r="F490" i="1"/>
  <c r="E490" i="1"/>
  <c r="F444" i="1"/>
  <c r="E444" i="1"/>
  <c r="F384" i="1"/>
  <c r="E384" i="1"/>
  <c r="F185" i="1"/>
  <c r="E185" i="1"/>
  <c r="F125" i="1"/>
  <c r="E125" i="1"/>
  <c r="F78" i="1"/>
  <c r="E78" i="1"/>
  <c r="F31" i="1"/>
  <c r="E31" i="1"/>
  <c r="E1098" i="1"/>
  <c r="E918" i="1"/>
  <c r="E794" i="1"/>
  <c r="E758" i="1"/>
  <c r="F432" i="1"/>
  <c r="F291" i="1"/>
  <c r="F104" i="1"/>
  <c r="F1007" i="1"/>
  <c r="E1007" i="1"/>
  <c r="F466" i="1"/>
  <c r="E466" i="1"/>
  <c r="F359" i="1"/>
  <c r="E359" i="1"/>
  <c r="F254" i="1"/>
  <c r="E254" i="1"/>
  <c r="F195" i="1"/>
  <c r="E195" i="1"/>
  <c r="F66" i="1"/>
  <c r="E66" i="1"/>
  <c r="F960" i="1"/>
  <c r="E960" i="1"/>
  <c r="F792" i="1"/>
  <c r="E792" i="1"/>
  <c r="F465" i="1"/>
  <c r="E465" i="1"/>
  <c r="F406" i="1"/>
  <c r="E406" i="1"/>
  <c r="F135" i="1"/>
  <c r="E135" i="1"/>
  <c r="F65" i="1"/>
  <c r="E65" i="1"/>
  <c r="F17" i="1"/>
  <c r="E17" i="1"/>
  <c r="E1132" i="1"/>
  <c r="E1040" i="1"/>
  <c r="E860" i="1"/>
  <c r="E824" i="1"/>
  <c r="E700" i="1"/>
  <c r="E608" i="1"/>
  <c r="E220" i="1"/>
  <c r="F849" i="1"/>
  <c r="F430" i="1"/>
  <c r="F339" i="1"/>
  <c r="F147" i="1"/>
  <c r="F790" i="1"/>
  <c r="E790" i="1"/>
  <c r="F684" i="1"/>
  <c r="E684" i="1"/>
  <c r="F263" i="1"/>
  <c r="E263" i="1"/>
  <c r="F157" i="1"/>
  <c r="E157" i="1"/>
  <c r="F121" i="1"/>
  <c r="E121" i="1"/>
  <c r="F63" i="1"/>
  <c r="E63" i="1"/>
  <c r="F1115" i="1"/>
  <c r="E1115" i="1"/>
  <c r="F1137" i="1"/>
  <c r="E1137" i="1"/>
  <c r="F1125" i="1"/>
  <c r="E1125" i="1"/>
  <c r="F1114" i="1"/>
  <c r="E1114" i="1"/>
  <c r="F1102" i="1"/>
  <c r="E1102" i="1"/>
  <c r="F1090" i="1"/>
  <c r="E1090" i="1"/>
  <c r="F1078" i="1"/>
  <c r="E1078" i="1"/>
  <c r="F1067" i="1"/>
  <c r="E1067" i="1"/>
  <c r="F1055" i="1"/>
  <c r="E1055" i="1"/>
  <c r="F921" i="1"/>
  <c r="E921" i="1"/>
  <c r="F900" i="1"/>
  <c r="E900" i="1"/>
  <c r="F888" i="1"/>
  <c r="E888" i="1"/>
  <c r="F705" i="1"/>
  <c r="E705" i="1"/>
  <c r="F693" i="1"/>
  <c r="E693" i="1"/>
  <c r="F681" i="1"/>
  <c r="E681" i="1"/>
  <c r="F657" i="1"/>
  <c r="E657" i="1"/>
  <c r="E634" i="1"/>
  <c r="F634" i="1"/>
  <c r="F600" i="1"/>
  <c r="E600" i="1"/>
  <c r="F566" i="1"/>
  <c r="E566" i="1"/>
  <c r="F554" i="1"/>
  <c r="E554" i="1"/>
  <c r="F542" i="1"/>
  <c r="E542" i="1"/>
  <c r="F530" i="1"/>
  <c r="E530" i="1"/>
  <c r="F224" i="1"/>
  <c r="E224" i="1"/>
  <c r="F190" i="1"/>
  <c r="E190" i="1"/>
  <c r="F154" i="1"/>
  <c r="E154" i="1"/>
  <c r="F118" i="1"/>
  <c r="E118" i="1"/>
  <c r="F107" i="1"/>
  <c r="E107" i="1"/>
  <c r="F83" i="1"/>
  <c r="E83" i="1"/>
  <c r="F48" i="1"/>
  <c r="E48" i="1"/>
  <c r="F12" i="1"/>
  <c r="E12" i="1"/>
  <c r="E1107" i="1"/>
  <c r="E1015" i="1"/>
  <c r="E979" i="1"/>
  <c r="E963" i="1"/>
  <c r="E943" i="1"/>
  <c r="E927" i="1"/>
  <c r="E907" i="1"/>
  <c r="E891" i="1"/>
  <c r="E871" i="1"/>
  <c r="E855" i="1"/>
  <c r="E835" i="1"/>
  <c r="E799" i="1"/>
  <c r="E783" i="1"/>
  <c r="E763" i="1"/>
  <c r="E747" i="1"/>
  <c r="E727" i="1"/>
  <c r="E711" i="1"/>
  <c r="E675" i="1"/>
  <c r="E639" i="1"/>
  <c r="E619" i="1"/>
  <c r="E603" i="1"/>
  <c r="E583" i="1"/>
  <c r="E567" i="1"/>
  <c r="E545" i="1"/>
  <c r="E523" i="1"/>
  <c r="E484" i="1"/>
  <c r="E462" i="1"/>
  <c r="E440" i="1"/>
  <c r="E401" i="1"/>
  <c r="E379" i="1"/>
  <c r="E361" i="1"/>
  <c r="E296" i="1"/>
  <c r="E279" i="1"/>
  <c r="E257" i="1"/>
  <c r="E235" i="1"/>
  <c r="E117" i="1"/>
  <c r="E88" i="1"/>
  <c r="E24" i="1"/>
  <c r="F1074" i="1"/>
  <c r="F969" i="1"/>
  <c r="F778" i="1"/>
  <c r="F732" i="1"/>
  <c r="F645" i="1"/>
  <c r="F504" i="1"/>
  <c r="F454" i="1"/>
  <c r="F408" i="1"/>
  <c r="F321" i="1"/>
  <c r="F267" i="1"/>
  <c r="F180" i="1"/>
  <c r="F71" i="1"/>
  <c r="F23" i="1"/>
  <c r="F446" i="1"/>
  <c r="E446" i="1"/>
  <c r="F198" i="1"/>
  <c r="E198" i="1"/>
  <c r="F127" i="1"/>
  <c r="E127" i="1"/>
  <c r="F115" i="1"/>
  <c r="E115" i="1"/>
  <c r="F1041" i="1"/>
  <c r="E1041" i="1"/>
  <c r="F873" i="1"/>
  <c r="E873" i="1"/>
  <c r="F550" i="1"/>
  <c r="E550" i="1"/>
  <c r="F491" i="1"/>
  <c r="E491" i="1"/>
  <c r="F186" i="1"/>
  <c r="E186" i="1"/>
  <c r="F103" i="1"/>
  <c r="E103" i="1"/>
  <c r="E20" i="1"/>
  <c r="F20" i="1"/>
  <c r="E1063" i="1"/>
  <c r="E759" i="1"/>
  <c r="E457" i="1"/>
  <c r="F861" i="1"/>
  <c r="F1019" i="1"/>
  <c r="E1019" i="1"/>
  <c r="F816" i="1"/>
  <c r="E816" i="1"/>
  <c r="F573" i="1"/>
  <c r="E573" i="1"/>
  <c r="E502" i="1"/>
  <c r="F502" i="1"/>
  <c r="F173" i="1"/>
  <c r="E173" i="1"/>
  <c r="F114" i="1"/>
  <c r="E114" i="1"/>
  <c r="F67" i="1"/>
  <c r="E67" i="1"/>
  <c r="F19" i="1"/>
  <c r="E19" i="1"/>
  <c r="F7" i="1"/>
  <c r="E7" i="1"/>
  <c r="E1062" i="1"/>
  <c r="E974" i="1"/>
  <c r="E630" i="1"/>
  <c r="E269" i="1"/>
  <c r="F57" i="1"/>
  <c r="F996" i="1"/>
  <c r="E996" i="1"/>
  <c r="F513" i="1"/>
  <c r="E513" i="1"/>
  <c r="F477" i="1"/>
  <c r="E477" i="1"/>
  <c r="F407" i="1"/>
  <c r="E407" i="1"/>
  <c r="F302" i="1"/>
  <c r="E302" i="1"/>
  <c r="F242" i="1"/>
  <c r="E242" i="1"/>
  <c r="F136" i="1"/>
  <c r="E136" i="1"/>
  <c r="F54" i="1"/>
  <c r="E54" i="1"/>
  <c r="F984" i="1"/>
  <c r="E984" i="1"/>
  <c r="F803" i="1"/>
  <c r="E803" i="1"/>
  <c r="E394" i="1"/>
  <c r="F394" i="1"/>
  <c r="F335" i="1"/>
  <c r="E335" i="1"/>
  <c r="F171" i="1"/>
  <c r="E171" i="1"/>
  <c r="F5" i="1"/>
  <c r="E5" i="1"/>
  <c r="E952" i="1"/>
  <c r="E916" i="1"/>
  <c r="E736" i="1"/>
  <c r="E349" i="1"/>
  <c r="E328" i="1"/>
  <c r="E245" i="1"/>
  <c r="E194" i="1"/>
  <c r="F804" i="1"/>
  <c r="F525" i="1"/>
  <c r="F924" i="1"/>
  <c r="E924" i="1"/>
  <c r="F731" i="1"/>
  <c r="E731" i="1"/>
  <c r="F275" i="1"/>
  <c r="E275" i="1"/>
  <c r="F227" i="1"/>
  <c r="E227" i="1"/>
  <c r="F98" i="1"/>
  <c r="E98" i="1"/>
  <c r="F15" i="1"/>
  <c r="E15" i="1"/>
  <c r="E950" i="1"/>
  <c r="F1126" i="1"/>
  <c r="E1126" i="1"/>
  <c r="F1113" i="1"/>
  <c r="E1113" i="1"/>
  <c r="F1101" i="1"/>
  <c r="E1101" i="1"/>
  <c r="F1089" i="1"/>
  <c r="E1089" i="1"/>
  <c r="F1077" i="1"/>
  <c r="E1077" i="1"/>
  <c r="F1066" i="1"/>
  <c r="E1066" i="1"/>
  <c r="F1054" i="1"/>
  <c r="E1054" i="1"/>
  <c r="F911" i="1"/>
  <c r="E911" i="1"/>
  <c r="F899" i="1"/>
  <c r="E899" i="1"/>
  <c r="F876" i="1"/>
  <c r="E876" i="1"/>
  <c r="F852" i="1"/>
  <c r="E852" i="1"/>
  <c r="F623" i="1"/>
  <c r="E623" i="1"/>
  <c r="F599" i="1"/>
  <c r="E599" i="1"/>
  <c r="F518" i="1"/>
  <c r="E518" i="1"/>
  <c r="F494" i="1"/>
  <c r="E494" i="1"/>
  <c r="F223" i="1"/>
  <c r="E223" i="1"/>
  <c r="F211" i="1"/>
  <c r="E211" i="1"/>
  <c r="E200" i="1"/>
  <c r="F200" i="1"/>
  <c r="F141" i="1"/>
  <c r="E141" i="1"/>
  <c r="F82" i="1"/>
  <c r="E82" i="1"/>
  <c r="F47" i="1"/>
  <c r="E47" i="1"/>
  <c r="F11" i="1"/>
  <c r="E11" i="1"/>
  <c r="E1142" i="1"/>
  <c r="E1106" i="1"/>
  <c r="E1086" i="1"/>
  <c r="E1070" i="1"/>
  <c r="E1050" i="1"/>
  <c r="E1034" i="1"/>
  <c r="E1014" i="1"/>
  <c r="E998" i="1"/>
  <c r="E978" i="1"/>
  <c r="E962" i="1"/>
  <c r="E926" i="1"/>
  <c r="E906" i="1"/>
  <c r="E890" i="1"/>
  <c r="E870" i="1"/>
  <c r="E854" i="1"/>
  <c r="E834" i="1"/>
  <c r="E798" i="1"/>
  <c r="E782" i="1"/>
  <c r="E762" i="1"/>
  <c r="E746" i="1"/>
  <c r="E710" i="1"/>
  <c r="E674" i="1"/>
  <c r="E638" i="1"/>
  <c r="E618" i="1"/>
  <c r="E602" i="1"/>
  <c r="E582" i="1"/>
  <c r="E565" i="1"/>
  <c r="E544" i="1"/>
  <c r="E522" i="1"/>
  <c r="E500" i="1"/>
  <c r="E461" i="1"/>
  <c r="E439" i="1"/>
  <c r="E421" i="1"/>
  <c r="E400" i="1"/>
  <c r="E378" i="1"/>
  <c r="E317" i="1"/>
  <c r="E295" i="1"/>
  <c r="E277" i="1"/>
  <c r="E256" i="1"/>
  <c r="E205" i="1"/>
  <c r="E112" i="1"/>
  <c r="E86" i="1"/>
  <c r="F864" i="1"/>
  <c r="F777" i="1"/>
  <c r="F503" i="1"/>
  <c r="F453" i="1"/>
  <c r="F266" i="1"/>
  <c r="F179" i="1"/>
  <c r="F1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<sst xmlns="http://schemas.openxmlformats.org/spreadsheetml/2006/main" count="1413" uniqueCount="279">
  <si>
    <t>season</t>
  </si>
  <si>
    <t>team_id</t>
  </si>
  <si>
    <t>team_name</t>
  </si>
  <si>
    <t>American</t>
  </si>
  <si>
    <t>Arizona</t>
  </si>
  <si>
    <t>Arkansas</t>
  </si>
  <si>
    <t>Austin Peay</t>
  </si>
  <si>
    <t>Baylor</t>
  </si>
  <si>
    <t>Belmont</t>
  </si>
  <si>
    <t>Boise St</t>
  </si>
  <si>
    <t>Butler</t>
  </si>
  <si>
    <t>BYU</t>
  </si>
  <si>
    <t>Clemson</t>
  </si>
  <si>
    <t>Cornell</t>
  </si>
  <si>
    <t>Davidson</t>
  </si>
  <si>
    <t>Drake</t>
  </si>
  <si>
    <t>Duke</t>
  </si>
  <si>
    <t>Fullerton</t>
  </si>
  <si>
    <t>George Mason</t>
  </si>
  <si>
    <t>Georgetown</t>
  </si>
  <si>
    <t>Georgia</t>
  </si>
  <si>
    <t>Gonzaga</t>
  </si>
  <si>
    <t>Indiana</t>
  </si>
  <si>
    <t>Kansas</t>
  </si>
  <si>
    <t>Kansas St</t>
  </si>
  <si>
    <t>Kent State</t>
  </si>
  <si>
    <t>Kentucky</t>
  </si>
  <si>
    <t>Louisville</t>
  </si>
  <si>
    <t>Marquette</t>
  </si>
  <si>
    <t>Memphis</t>
  </si>
  <si>
    <t>Miami</t>
  </si>
  <si>
    <t>Michigan St</t>
  </si>
  <si>
    <t>Miss Valley St</t>
  </si>
  <si>
    <t>Mississippi St</t>
  </si>
  <si>
    <t>Mount St Mary</t>
  </si>
  <si>
    <t>North Carolina</t>
  </si>
  <si>
    <t>Notre Dame</t>
  </si>
  <si>
    <t>Akron</t>
  </si>
  <si>
    <t>Alabama St</t>
  </si>
  <si>
    <t>Arizona St</t>
  </si>
  <si>
    <t>Binghamton</t>
  </si>
  <si>
    <t>Boston College</t>
  </si>
  <si>
    <t>California</t>
  </si>
  <si>
    <t>Chattanooga</t>
  </si>
  <si>
    <t>Cleveland St</t>
  </si>
  <si>
    <t>CSU Northridge</t>
  </si>
  <si>
    <t>Dayton</t>
  </si>
  <si>
    <t>ETSU</t>
  </si>
  <si>
    <t>Florida St</t>
  </si>
  <si>
    <t>Illinois</t>
  </si>
  <si>
    <t>LSU</t>
  </si>
  <si>
    <t>Maryland</t>
  </si>
  <si>
    <t>Michigan</t>
  </si>
  <si>
    <t>Minnesota</t>
  </si>
  <si>
    <t>Missouri</t>
  </si>
  <si>
    <t>Morehead St</t>
  </si>
  <si>
    <t>Morgan St</t>
  </si>
  <si>
    <t>AR-Pine Bluff</t>
  </si>
  <si>
    <t>Florida</t>
  </si>
  <si>
    <t>Georgia Tech</t>
  </si>
  <si>
    <t>Houston</t>
  </si>
  <si>
    <t>Lehigh</t>
  </si>
  <si>
    <t>Montana</t>
  </si>
  <si>
    <t>Murray St</t>
  </si>
  <si>
    <t>New Mexico</t>
  </si>
  <si>
    <t>New Mexico St</t>
  </si>
  <si>
    <t>North Texas</t>
  </si>
  <si>
    <t>Northern Iowa</t>
  </si>
  <si>
    <t>Boston Univ</t>
  </si>
  <si>
    <t>Bucknell</t>
  </si>
  <si>
    <t>Cincinnati</t>
  </si>
  <si>
    <t>Hampton</t>
  </si>
  <si>
    <t>Indiana St</t>
  </si>
  <si>
    <t>Little Rock</t>
  </si>
  <si>
    <t>Long Island</t>
  </si>
  <si>
    <t>N Colorado</t>
  </si>
  <si>
    <t>Oakland</t>
  </si>
  <si>
    <t>Ohio State</t>
  </si>
  <si>
    <t>Old Dominion</t>
  </si>
  <si>
    <t>Alabama</t>
  </si>
  <si>
    <t>Colorado</t>
  </si>
  <si>
    <t>Colorado St</t>
  </si>
  <si>
    <t>Creighton</t>
  </si>
  <si>
    <t>Detroit Mercy</t>
  </si>
  <si>
    <t>Harvard</t>
  </si>
  <si>
    <t>Iona</t>
  </si>
  <si>
    <t>Iowa State</t>
  </si>
  <si>
    <t>Lamar</t>
  </si>
  <si>
    <t>Long Beach St</t>
  </si>
  <si>
    <t>Loyola MD</t>
  </si>
  <si>
    <t>NC State</t>
  </si>
  <si>
    <t>Albany</t>
  </si>
  <si>
    <t>FGCU</t>
  </si>
  <si>
    <t>James Madison</t>
  </si>
  <si>
    <t>La Salle</t>
  </si>
  <si>
    <t>Liberty</t>
  </si>
  <si>
    <t>Cal Poly</t>
  </si>
  <si>
    <t>Coast Car</t>
  </si>
  <si>
    <t>Delaware</t>
  </si>
  <si>
    <t>E Kentucky</t>
  </si>
  <si>
    <t>G Washington</t>
  </si>
  <si>
    <t>Iowa</t>
  </si>
  <si>
    <t>Louisiana</t>
  </si>
  <si>
    <t>Manhattan</t>
  </si>
  <si>
    <t>Mercer</t>
  </si>
  <si>
    <t>Milwaukee</t>
  </si>
  <si>
    <t>N Dakota St</t>
  </si>
  <si>
    <t>NC Central</t>
  </si>
  <si>
    <t>Nebraska</t>
  </si>
  <si>
    <t>Buffalo</t>
  </si>
  <si>
    <t>E Washington</t>
  </si>
  <si>
    <t>Georgia St</t>
  </si>
  <si>
    <t>Lafayette</t>
  </si>
  <si>
    <t>North Florida</t>
  </si>
  <si>
    <t>Bakersfield</t>
  </si>
  <si>
    <t>Fair Dickinson</t>
  </si>
  <si>
    <t>Fresno St</t>
  </si>
  <si>
    <t>Green Bay</t>
  </si>
  <si>
    <t>Hawai'i</t>
  </si>
  <si>
    <t>Holy Cross</t>
  </si>
  <si>
    <t>MTSU</t>
  </si>
  <si>
    <t>Oklahoma</t>
  </si>
  <si>
    <t>Oregon</t>
  </si>
  <si>
    <t>J'Ville St</t>
  </si>
  <si>
    <t>N Kentucky</t>
  </si>
  <si>
    <t>Nevada</t>
  </si>
  <si>
    <t>Auburn</t>
  </si>
  <si>
    <t>Charleston</t>
  </si>
  <si>
    <t>Lipscomb</t>
  </si>
  <si>
    <t>Loyola Chicago</t>
  </si>
  <si>
    <t>Marshall</t>
  </si>
  <si>
    <t>Abilene Chrstn</t>
  </si>
  <si>
    <t>Bradley</t>
  </si>
  <si>
    <t>Colgate</t>
  </si>
  <si>
    <t>Gardner-Webb</t>
  </si>
  <si>
    <t>Appalachian St</t>
  </si>
  <si>
    <t>Drexel</t>
  </si>
  <si>
    <t>Grand Canyon</t>
  </si>
  <si>
    <t>Hartford</t>
  </si>
  <si>
    <t>Norfolk St</t>
  </si>
  <si>
    <t>Bryant</t>
  </si>
  <si>
    <t>Longwood</t>
  </si>
  <si>
    <t>Montana St</t>
  </si>
  <si>
    <t>FAU</t>
  </si>
  <si>
    <t>Furman</t>
  </si>
  <si>
    <t>Howard</t>
  </si>
  <si>
    <t>Kennesaw St</t>
  </si>
  <si>
    <t>Duquesne</t>
  </si>
  <si>
    <t>Grambling</t>
  </si>
  <si>
    <t>McNeese</t>
  </si>
  <si>
    <t>High Point</t>
  </si>
  <si>
    <t>Oral Roberts</t>
  </si>
  <si>
    <t>Pitt</t>
  </si>
  <si>
    <t>Portland St</t>
  </si>
  <si>
    <t>Purdue</t>
  </si>
  <si>
    <t>Saint Joseph's</t>
  </si>
  <si>
    <t>Saint Mary's</t>
  </si>
  <si>
    <t>San Diego</t>
  </si>
  <si>
    <t>Siena</t>
  </si>
  <si>
    <t>South Alabama</t>
  </si>
  <si>
    <t>Stanford</t>
  </si>
  <si>
    <t>Temple</t>
  </si>
  <si>
    <t>Tennessee</t>
  </si>
  <si>
    <t>Texas</t>
  </si>
  <si>
    <t>Texas A&amp;M</t>
  </si>
  <si>
    <t>UCLA</t>
  </si>
  <si>
    <t>UConn</t>
  </si>
  <si>
    <t>UMBC</t>
  </si>
  <si>
    <t>UNLV</t>
  </si>
  <si>
    <t>USC</t>
  </si>
  <si>
    <t>UT Arlington</t>
  </si>
  <si>
    <t>Vanderbilt</t>
  </si>
  <si>
    <t>Villanova</t>
  </si>
  <si>
    <t>Washington St</t>
  </si>
  <si>
    <t>West Virginia</t>
  </si>
  <si>
    <t>Western KY</t>
  </si>
  <si>
    <t>Winthrop</t>
  </si>
  <si>
    <t>Wisconsin</t>
  </si>
  <si>
    <t>Xavier</t>
  </si>
  <si>
    <t>Oklahoma St</t>
  </si>
  <si>
    <t>Radford</t>
  </si>
  <si>
    <t>Robert Morris</t>
  </si>
  <si>
    <t>SF Austin</t>
  </si>
  <si>
    <t>Syracuse</t>
  </si>
  <si>
    <t>Utah</t>
  </si>
  <si>
    <t>Utah State</t>
  </si>
  <si>
    <t>VCU</t>
  </si>
  <si>
    <t>Wake Forest</t>
  </si>
  <si>
    <t>Washington</t>
  </si>
  <si>
    <t>Ohio</t>
  </si>
  <si>
    <t>Richmond</t>
  </si>
  <si>
    <t>Sam Houston</t>
  </si>
  <si>
    <t>San Diego St</t>
  </si>
  <si>
    <t>UCSB</t>
  </si>
  <si>
    <t>UTEP</t>
  </si>
  <si>
    <t>Vermont</t>
  </si>
  <si>
    <t>Wofford</t>
  </si>
  <si>
    <t>Penn State</t>
  </si>
  <si>
    <t>Princeton</t>
  </si>
  <si>
    <t>Saint Peter's</t>
  </si>
  <si>
    <t>St John's</t>
  </si>
  <si>
    <t>UAB</t>
  </si>
  <si>
    <t>UNC Asheville</t>
  </si>
  <si>
    <t>UTSA</t>
  </si>
  <si>
    <t>S Dakota St</t>
  </si>
  <si>
    <t>Saint Louis</t>
  </si>
  <si>
    <t>South Florida</t>
  </si>
  <si>
    <t>Southern Miss</t>
  </si>
  <si>
    <t>St Bonaventure</t>
  </si>
  <si>
    <t>Virginia</t>
  </si>
  <si>
    <t>Wichita St</t>
  </si>
  <si>
    <t>NC A&amp;T</t>
  </si>
  <si>
    <t>N'Western St</t>
  </si>
  <si>
    <t>Ole Miss</t>
  </si>
  <si>
    <t>Pacific</t>
  </si>
  <si>
    <t>Southern</t>
  </si>
  <si>
    <t>Valparaiso</t>
  </si>
  <si>
    <t>Providence</t>
  </si>
  <si>
    <t>Texas Southern</t>
  </si>
  <si>
    <t>Tulsa</t>
  </si>
  <si>
    <t>UMass</t>
  </si>
  <si>
    <t>W Michigan</t>
  </si>
  <si>
    <t>Weber St</t>
  </si>
  <si>
    <t>Northeastern</t>
  </si>
  <si>
    <t>SMU</t>
  </si>
  <si>
    <t>UC Irvine</t>
  </si>
  <si>
    <t>Wyoming</t>
  </si>
  <si>
    <t>Oregon St</t>
  </si>
  <si>
    <t>Seton Hall</t>
  </si>
  <si>
    <t>Stony Brook</t>
  </si>
  <si>
    <t>Texas Tech</t>
  </si>
  <si>
    <t>UNC Wilmington</t>
  </si>
  <si>
    <t>Yale</t>
  </si>
  <si>
    <t>North Dakota</t>
  </si>
  <si>
    <t>Northwestern</t>
  </si>
  <si>
    <t>Rhode Island</t>
  </si>
  <si>
    <t>South Carolina</t>
  </si>
  <si>
    <t>Troy</t>
  </si>
  <si>
    <t>UC Davis</t>
  </si>
  <si>
    <t>Virginia Tech</t>
  </si>
  <si>
    <t>Penn</t>
  </si>
  <si>
    <t>TCU</t>
  </si>
  <si>
    <t>UNC Greensboro</t>
  </si>
  <si>
    <t>Wright St</t>
  </si>
  <si>
    <t>Prairie View</t>
  </si>
  <si>
    <t>UCF</t>
  </si>
  <si>
    <t>Rutgers</t>
  </si>
  <si>
    <t>San Francisco</t>
  </si>
  <si>
    <t>Texas A&amp;M-CC</t>
  </si>
  <si>
    <t>Santa Barbara</t>
  </si>
  <si>
    <t>SE Missouri</t>
  </si>
  <si>
    <t>Samford</t>
  </si>
  <si>
    <t>Stetson</t>
  </si>
  <si>
    <t>Wagner</t>
  </si>
  <si>
    <t>Mount St Marys</t>
  </si>
  <si>
    <t>Omaha</t>
  </si>
  <si>
    <t>Saint Francis</t>
  </si>
  <si>
    <t>SIUE</t>
  </si>
  <si>
    <t>UC San Diego</t>
  </si>
  <si>
    <t>power_conf</t>
  </si>
  <si>
    <t>power_conf_extra</t>
  </si>
  <si>
    <t>conference</t>
  </si>
  <si>
    <t>Traditional Power Conferences: ACC, SEC, Big12…. Power Conf Extra includes Big10 and BigEast too</t>
  </si>
  <si>
    <t>ACC</t>
  </si>
  <si>
    <t>season_start</t>
  </si>
  <si>
    <t>season_end</t>
  </si>
  <si>
    <t>SEC</t>
  </si>
  <si>
    <t>Big12</t>
  </si>
  <si>
    <t>Big Ten</t>
  </si>
  <si>
    <t>DePaul</t>
  </si>
  <si>
    <t>Big East</t>
  </si>
  <si>
    <t>Conference</t>
  </si>
  <si>
    <t>CA Baptist</t>
  </si>
  <si>
    <t>Hofstra</t>
  </si>
  <si>
    <t>Idaho</t>
  </si>
  <si>
    <t>Miami OH</t>
  </si>
  <si>
    <t>Queens</t>
  </si>
  <si>
    <t>Santa Clara</t>
  </si>
  <si>
    <t>Tennessee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</si>
</sst>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07C9A-2AA2-4F38-A0C5-3B95BDAFC8B8}">
  <dimension ref="A1:F1212"/>
  <sheetViews>
    <sheetView tabSelected="1" topLeftCell="A1147" zoomScaleNormal="100" workbookViewId="0">
      <selection activeCell="E1155" sqref="E1155"/>
    </sheetView>
  </sheetViews>
  <sheetFormatPr defaultRowHeight="14.5" x14ac:dyDescent="0.35"/>
  <cols>
    <col min="1" max="1" width="6.6328125" bestFit="1" customWidth="1"/>
    <col min="2" max="2" width="7.26953125" bestFit="1" customWidth="1"/>
    <col min="3" max="3" width="14.54296875" bestFit="1" customWidth="1"/>
    <col min="4" max="4" width="10.26953125" bestFit="1" customWidth="1"/>
    <col min="5" max="5" width="10.08984375" bestFit="1" customWidth="1"/>
    <col min="6" max="6" width="15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271</v>
      </c>
      <c r="E1" t="s">
        <v>259</v>
      </c>
      <c r="F1" t="s">
        <v>260</v>
      </c>
    </row>
    <row r="2" spans="1:6" x14ac:dyDescent="0.35">
      <c r="A2">
        <v>2008</v>
      </c>
      <c r="B2">
        <v>44</v>
      </c>
      <c r="C2" t="s">
        <v>3</v>
      </c>
      <c r="D2" t="str" cm="1">
        <f t="array" ref="D2">_xlfn.XLOOKUP(1,
    ('team lookup'!$C$3:$C$97 = B2) * ('team lookup'!$A$3:$A$97 &lt;= A2) * (IF('team lookup'!$B$3:$B$97 = "", 9999, 'team lookup'!$B$3:$B$97) &gt;= A2),
    'team lookup'!$E$3:$E$97,
    "Other"
)</f>
        <v>Other</v>
      </c>
      <c r="E2">
        <f>IF(OR(D2="ACC", D2="SEC", D2="Big12"), 1,0)</f>
        <v>0</v>
      </c>
      <c r="F2">
        <f>IF(D2&lt;&gt;"Other", 1,0)</f>
        <v>0</v>
      </c>
    </row>
    <row r="3" spans="1:6" x14ac:dyDescent="0.35">
      <c r="A3">
        <v>2008</v>
      </c>
      <c r="B3">
        <v>12</v>
      </c>
      <c r="C3" t="s">
        <v>4</v>
      </c>
      <c r="D3" t="str" cm="1">
        <f t="array" ref="D3">_xlfn.XLOOKUP(1,
    ('team lookup'!$C$3:$C$97 = B3) * ('team lookup'!$A$3:$A$97 &lt;= A3) * (IF('team lookup'!$B$3:$B$97 = "", 9999, 'team lookup'!$B$3:$B$97) &gt;= A3),
    'team lookup'!$E$3:$E$97,
    "Other"
)</f>
        <v>Other</v>
      </c>
      <c r="E3">
        <f t="shared" ref="E3:E66" si="0">IF(OR(D3="ACC", D3="SEC", D3="Big12"), 1,0)</f>
        <v>0</v>
      </c>
      <c r="F3">
        <f t="shared" ref="F3:F66" si="1">IF(D3&lt;&gt;"Other", 1,0)</f>
        <v>0</v>
      </c>
    </row>
    <row r="4" spans="1:6" x14ac:dyDescent="0.35">
      <c r="A4">
        <v>2008</v>
      </c>
      <c r="B4">
        <v>8</v>
      </c>
      <c r="C4" t="s">
        <v>5</v>
      </c>
      <c r="D4" t="str" cm="1">
        <f t="array" ref="D4">_xlfn.XLOOKUP(1,
    ('team lookup'!$C$3:$C$97 = B4) * ('team lookup'!$A$3:$A$97 &lt;= A4) * (IF('team lookup'!$B$3:$B$97 = "", 9999, 'team lookup'!$B$3:$B$97) &gt;= A4),
    'team lookup'!$E$3:$E$97,
    "Other"
)</f>
        <v>SEC</v>
      </c>
      <c r="E4">
        <f t="shared" si="0"/>
        <v>1</v>
      </c>
      <c r="F4">
        <f t="shared" si="1"/>
        <v>1</v>
      </c>
    </row>
    <row r="5" spans="1:6" x14ac:dyDescent="0.35">
      <c r="A5">
        <v>2008</v>
      </c>
      <c r="B5">
        <v>2046</v>
      </c>
      <c r="C5" t="s">
        <v>6</v>
      </c>
      <c r="D5" t="str" cm="1">
        <f t="array" ref="D5">_xlfn.XLOOKUP(1,
    ('team lookup'!$C$3:$C$97 = B5) * ('team lookup'!$A$3:$A$97 &lt;= A5) * (IF('team lookup'!$B$3:$B$97 = "", 9999, 'team lookup'!$B$3:$B$97) &gt;= A5),
    'team lookup'!$E$3:$E$97,
    "Other"
)</f>
        <v>Other</v>
      </c>
      <c r="E5">
        <f t="shared" si="0"/>
        <v>0</v>
      </c>
      <c r="F5">
        <f t="shared" si="1"/>
        <v>0</v>
      </c>
    </row>
    <row r="6" spans="1:6" x14ac:dyDescent="0.35">
      <c r="A6">
        <v>2008</v>
      </c>
      <c r="B6">
        <v>239</v>
      </c>
      <c r="C6" t="s">
        <v>7</v>
      </c>
      <c r="D6" t="str" cm="1">
        <f t="array" ref="D6">_xlfn.XLOOKUP(1,
    ('team lookup'!$C$3:$C$97 = B6) * ('team lookup'!$A$3:$A$97 &lt;= A6) * (IF('team lookup'!$B$3:$B$97 = "", 9999, 'team lookup'!$B$3:$B$97) &gt;= A6),
    'team lookup'!$E$3:$E$97,
    "Other"
)</f>
        <v>Big12</v>
      </c>
      <c r="E6">
        <f t="shared" si="0"/>
        <v>1</v>
      </c>
      <c r="F6">
        <f t="shared" si="1"/>
        <v>1</v>
      </c>
    </row>
    <row r="7" spans="1:6" x14ac:dyDescent="0.35">
      <c r="A7">
        <v>2008</v>
      </c>
      <c r="B7">
        <v>2057</v>
      </c>
      <c r="C7" t="s">
        <v>8</v>
      </c>
      <c r="D7" t="str" cm="1">
        <f t="array" ref="D7">_xlfn.XLOOKUP(1,
    ('team lookup'!$C$3:$C$97 = B7) * ('team lookup'!$A$3:$A$97 &lt;= A7) * (IF('team lookup'!$B$3:$B$97 = "", 9999, 'team lookup'!$B$3:$B$97) &gt;= A7),
    'team lookup'!$E$3:$E$97,
    "Other"
)</f>
        <v>Other</v>
      </c>
      <c r="E7">
        <f t="shared" si="0"/>
        <v>0</v>
      </c>
      <c r="F7">
        <f t="shared" si="1"/>
        <v>0</v>
      </c>
    </row>
    <row r="8" spans="1:6" x14ac:dyDescent="0.35">
      <c r="A8">
        <v>2008</v>
      </c>
      <c r="B8">
        <v>68</v>
      </c>
      <c r="C8" t="s">
        <v>9</v>
      </c>
      <c r="D8" t="str" cm="1">
        <f t="array" ref="D8">_xlfn.XLOOKUP(1,
    ('team lookup'!$C$3:$C$97 = B8) * ('team lookup'!$A$3:$A$97 &lt;= A8) * (IF('team lookup'!$B$3:$B$97 = "", 9999, 'team lookup'!$B$3:$B$97) &gt;= A8),
    'team lookup'!$E$3:$E$97,
    "Other"
)</f>
        <v>Other</v>
      </c>
      <c r="E8">
        <f t="shared" si="0"/>
        <v>0</v>
      </c>
      <c r="F8">
        <f t="shared" si="1"/>
        <v>0</v>
      </c>
    </row>
    <row r="9" spans="1:6" x14ac:dyDescent="0.35">
      <c r="A9">
        <v>2008</v>
      </c>
      <c r="B9">
        <v>2086</v>
      </c>
      <c r="C9" t="s">
        <v>10</v>
      </c>
      <c r="D9" t="str" cm="1">
        <f t="array" ref="D9">_xlfn.XLOOKUP(1,
    ('team lookup'!$C$3:$C$97 = B9) * ('team lookup'!$A$3:$A$97 &lt;= A9) * (IF('team lookup'!$B$3:$B$97 = "", 9999, 'team lookup'!$B$3:$B$97) &gt;= A9),
    'team lookup'!$E$3:$E$97,
    "Other"
)</f>
        <v>Other</v>
      </c>
      <c r="E9">
        <f t="shared" si="0"/>
        <v>0</v>
      </c>
      <c r="F9">
        <f t="shared" si="1"/>
        <v>0</v>
      </c>
    </row>
    <row r="10" spans="1:6" x14ac:dyDescent="0.35">
      <c r="A10">
        <v>2008</v>
      </c>
      <c r="B10">
        <v>252</v>
      </c>
      <c r="C10" t="s">
        <v>11</v>
      </c>
      <c r="D10" t="str" cm="1">
        <f t="array" ref="D10">_xlfn.XLOOKUP(1,
    ('team lookup'!$C$3:$C$97 = B10) * ('team lookup'!$A$3:$A$97 &lt;= A10) * (IF('team lookup'!$B$3:$B$97 = "", 9999, 'team lookup'!$B$3:$B$97) &gt;= A10),
    'team lookup'!$E$3:$E$97,
    "Other"
)</f>
        <v>Other</v>
      </c>
      <c r="E10">
        <f t="shared" si="0"/>
        <v>0</v>
      </c>
      <c r="F10">
        <f t="shared" si="1"/>
        <v>0</v>
      </c>
    </row>
    <row r="11" spans="1:6" x14ac:dyDescent="0.35">
      <c r="A11">
        <v>2008</v>
      </c>
      <c r="B11">
        <v>228</v>
      </c>
      <c r="C11" t="s">
        <v>12</v>
      </c>
      <c r="D11" t="str" cm="1">
        <f t="array" ref="D11">_xlfn.XLOOKUP(1,
    ('team lookup'!$C$3:$C$97 = B11) * ('team lookup'!$A$3:$A$97 &lt;= A11) * (IF('team lookup'!$B$3:$B$97 = "", 9999, 'team lookup'!$B$3:$B$97) &gt;= A11),
    'team lookup'!$E$3:$E$97,
    "Other"
)</f>
        <v>ACC</v>
      </c>
      <c r="E11">
        <f t="shared" si="0"/>
        <v>1</v>
      </c>
      <c r="F11">
        <f t="shared" si="1"/>
        <v>1</v>
      </c>
    </row>
    <row r="12" spans="1:6" x14ac:dyDescent="0.35">
      <c r="A12">
        <v>2008</v>
      </c>
      <c r="B12">
        <v>172</v>
      </c>
      <c r="C12" t="s">
        <v>13</v>
      </c>
      <c r="D12" t="str" cm="1">
        <f t="array" ref="D12">_xlfn.XLOOKUP(1,
    ('team lookup'!$C$3:$C$97 = B12) * ('team lookup'!$A$3:$A$97 &lt;= A12) * (IF('team lookup'!$B$3:$B$97 = "", 9999, 'team lookup'!$B$3:$B$97) &gt;= A12),
    'team lookup'!$E$3:$E$97,
    "Other"
)</f>
        <v>Other</v>
      </c>
      <c r="E12">
        <f t="shared" si="0"/>
        <v>0</v>
      </c>
      <c r="F12">
        <f t="shared" si="1"/>
        <v>0</v>
      </c>
    </row>
    <row r="13" spans="1:6" x14ac:dyDescent="0.35">
      <c r="A13">
        <v>2008</v>
      </c>
      <c r="B13">
        <v>2166</v>
      </c>
      <c r="C13" t="s">
        <v>14</v>
      </c>
      <c r="D13" t="str" cm="1">
        <f t="array" ref="D13">_xlfn.XLOOKUP(1,
    ('team lookup'!$C$3:$C$97 = B13) * ('team lookup'!$A$3:$A$97 &lt;= A13) * (IF('team lookup'!$B$3:$B$97 = "", 9999, 'team lookup'!$B$3:$B$97) &gt;= A13),
    'team lookup'!$E$3:$E$97,
    "Other"
)</f>
        <v>Other</v>
      </c>
      <c r="E13">
        <f t="shared" si="0"/>
        <v>0</v>
      </c>
      <c r="F13">
        <f t="shared" si="1"/>
        <v>0</v>
      </c>
    </row>
    <row r="14" spans="1:6" x14ac:dyDescent="0.35">
      <c r="A14">
        <v>2008</v>
      </c>
      <c r="B14">
        <v>2181</v>
      </c>
      <c r="C14" t="s">
        <v>15</v>
      </c>
      <c r="D14" t="str" cm="1">
        <f t="array" ref="D14">_xlfn.XLOOKUP(1,
    ('team lookup'!$C$3:$C$97 = B14) * ('team lookup'!$A$3:$A$97 &lt;= A14) * (IF('team lookup'!$B$3:$B$97 = "", 9999, 'team lookup'!$B$3:$B$97) &gt;= A14),
    'team lookup'!$E$3:$E$97,
    "Other"
)</f>
        <v>Other</v>
      </c>
      <c r="E14">
        <f t="shared" si="0"/>
        <v>0</v>
      </c>
      <c r="F14">
        <f t="shared" si="1"/>
        <v>0</v>
      </c>
    </row>
    <row r="15" spans="1:6" x14ac:dyDescent="0.35">
      <c r="A15">
        <v>2008</v>
      </c>
      <c r="B15">
        <v>150</v>
      </c>
      <c r="C15" t="s">
        <v>16</v>
      </c>
      <c r="D15" t="str" cm="1">
        <f t="array" ref="D15">_xlfn.XLOOKUP(1,
    ('team lookup'!$C$3:$C$97 = B15) * ('team lookup'!$A$3:$A$97 &lt;= A15) * (IF('team lookup'!$B$3:$B$97 = "", 9999, 'team lookup'!$B$3:$B$97) &gt;= A15),
    'team lookup'!$E$3:$E$97,
    "Other"
)</f>
        <v>ACC</v>
      </c>
      <c r="E15">
        <f t="shared" si="0"/>
        <v>1</v>
      </c>
      <c r="F15">
        <f t="shared" si="1"/>
        <v>1</v>
      </c>
    </row>
    <row r="16" spans="1:6" x14ac:dyDescent="0.35">
      <c r="A16">
        <v>2008</v>
      </c>
      <c r="B16">
        <v>2239</v>
      </c>
      <c r="C16" t="s">
        <v>17</v>
      </c>
      <c r="D16" t="str" cm="1">
        <f t="array" ref="D16">_xlfn.XLOOKUP(1,
    ('team lookup'!$C$3:$C$97 = B16) * ('team lookup'!$A$3:$A$97 &lt;= A16) * (IF('team lookup'!$B$3:$B$97 = "", 9999, 'team lookup'!$B$3:$B$97) &gt;= A16),
    'team lookup'!$E$3:$E$97,
    "Other"
)</f>
        <v>Other</v>
      </c>
      <c r="E16">
        <f t="shared" si="0"/>
        <v>0</v>
      </c>
      <c r="F16">
        <f t="shared" si="1"/>
        <v>0</v>
      </c>
    </row>
    <row r="17" spans="1:6" x14ac:dyDescent="0.35">
      <c r="A17">
        <v>2008</v>
      </c>
      <c r="B17">
        <v>2244</v>
      </c>
      <c r="C17" t="s">
        <v>18</v>
      </c>
      <c r="D17" t="str" cm="1">
        <f t="array" ref="D17">_xlfn.XLOOKUP(1,
    ('team lookup'!$C$3:$C$97 = B17) * ('team lookup'!$A$3:$A$97 &lt;= A17) * (IF('team lookup'!$B$3:$B$97 = "", 9999, 'team lookup'!$B$3:$B$97) &gt;= A17),
    'team lookup'!$E$3:$E$97,
    "Other"
)</f>
        <v>Other</v>
      </c>
      <c r="E17">
        <f t="shared" si="0"/>
        <v>0</v>
      </c>
      <c r="F17">
        <f t="shared" si="1"/>
        <v>0</v>
      </c>
    </row>
    <row r="18" spans="1:6" x14ac:dyDescent="0.35">
      <c r="A18">
        <v>2008</v>
      </c>
      <c r="B18">
        <v>46</v>
      </c>
      <c r="C18" t="s">
        <v>19</v>
      </c>
      <c r="D18" t="str" cm="1">
        <f t="array" ref="D18">_xlfn.XLOOKUP(1,
    ('team lookup'!$C$3:$C$97 = B18) * ('team lookup'!$A$3:$A$97 &lt;= A18) * (IF('team lookup'!$B$3:$B$97 = "", 9999, 'team lookup'!$B$3:$B$97) &gt;= A18),
    'team lookup'!$E$3:$E$97,
    "Other"
)</f>
        <v>Big East</v>
      </c>
      <c r="E18">
        <f t="shared" si="0"/>
        <v>0</v>
      </c>
      <c r="F18">
        <f t="shared" si="1"/>
        <v>1</v>
      </c>
    </row>
    <row r="19" spans="1:6" x14ac:dyDescent="0.35">
      <c r="A19">
        <v>2008</v>
      </c>
      <c r="B19">
        <v>61</v>
      </c>
      <c r="C19" t="s">
        <v>20</v>
      </c>
      <c r="D19" t="str" cm="1">
        <f t="array" ref="D19">_xlfn.XLOOKUP(1,
    ('team lookup'!$C$3:$C$97 = B19) * ('team lookup'!$A$3:$A$97 &lt;= A19) * (IF('team lookup'!$B$3:$B$97 = "", 9999, 'team lookup'!$B$3:$B$97) &gt;= A19),
    'team lookup'!$E$3:$E$97,
    "Other"
)</f>
        <v>SEC</v>
      </c>
      <c r="E19">
        <f t="shared" si="0"/>
        <v>1</v>
      </c>
      <c r="F19">
        <f t="shared" si="1"/>
        <v>1</v>
      </c>
    </row>
    <row r="20" spans="1:6" x14ac:dyDescent="0.35">
      <c r="A20">
        <v>2008</v>
      </c>
      <c r="B20">
        <v>2250</v>
      </c>
      <c r="C20" t="s">
        <v>21</v>
      </c>
      <c r="D20" t="str" cm="1">
        <f t="array" ref="D20">_xlfn.XLOOKUP(1,
    ('team lookup'!$C$3:$C$97 = B20) * ('team lookup'!$A$3:$A$97 &lt;= A20) * (IF('team lookup'!$B$3:$B$97 = "", 9999, 'team lookup'!$B$3:$B$97) &gt;= A20),
    'team lookup'!$E$3:$E$97,
    "Other"
)</f>
        <v>Other</v>
      </c>
      <c r="E20">
        <f t="shared" si="0"/>
        <v>0</v>
      </c>
      <c r="F20">
        <f t="shared" si="1"/>
        <v>0</v>
      </c>
    </row>
    <row r="21" spans="1:6" x14ac:dyDescent="0.35">
      <c r="A21">
        <v>2008</v>
      </c>
      <c r="B21">
        <v>84</v>
      </c>
      <c r="C21" t="s">
        <v>22</v>
      </c>
      <c r="D21" t="str" cm="1">
        <f t="array" ref="D21">_xlfn.XLOOKUP(1,
    ('team lookup'!$C$3:$C$97 = B21) * ('team lookup'!$A$3:$A$97 &lt;= A21) * (IF('team lookup'!$B$3:$B$97 = "", 9999, 'team lookup'!$B$3:$B$97) &gt;= A21),
    'team lookup'!$E$3:$E$97,
    "Other"
)</f>
        <v>Big Ten</v>
      </c>
      <c r="E21">
        <f t="shared" si="0"/>
        <v>0</v>
      </c>
      <c r="F21">
        <f t="shared" si="1"/>
        <v>1</v>
      </c>
    </row>
    <row r="22" spans="1:6" x14ac:dyDescent="0.35">
      <c r="A22">
        <v>2008</v>
      </c>
      <c r="B22">
        <v>2305</v>
      </c>
      <c r="C22" t="s">
        <v>23</v>
      </c>
      <c r="D22" t="str" cm="1">
        <f t="array" ref="D22">_xlfn.XLOOKUP(1,
    ('team lookup'!$C$3:$C$97 = B22) * ('team lookup'!$A$3:$A$97 &lt;= A22) * (IF('team lookup'!$B$3:$B$97 = "", 9999, 'team lookup'!$B$3:$B$97) &gt;= A22),
    'team lookup'!$E$3:$E$97,
    "Other"
)</f>
        <v>Big12</v>
      </c>
      <c r="E22">
        <f t="shared" si="0"/>
        <v>1</v>
      </c>
      <c r="F22">
        <f t="shared" si="1"/>
        <v>1</v>
      </c>
    </row>
    <row r="23" spans="1:6" x14ac:dyDescent="0.35">
      <c r="A23">
        <v>2008</v>
      </c>
      <c r="B23">
        <v>2306</v>
      </c>
      <c r="C23" t="s">
        <v>24</v>
      </c>
      <c r="D23" t="str" cm="1">
        <f t="array" ref="D23">_xlfn.XLOOKUP(1,
    ('team lookup'!$C$3:$C$97 = B23) * ('team lookup'!$A$3:$A$97 &lt;= A23) * (IF('team lookup'!$B$3:$B$97 = "", 9999, 'team lookup'!$B$3:$B$97) &gt;= A23),
    'team lookup'!$E$3:$E$97,
    "Other"
)</f>
        <v>Big12</v>
      </c>
      <c r="E23">
        <f t="shared" si="0"/>
        <v>1</v>
      </c>
      <c r="F23">
        <f t="shared" si="1"/>
        <v>1</v>
      </c>
    </row>
    <row r="24" spans="1:6" x14ac:dyDescent="0.35">
      <c r="A24">
        <v>2008</v>
      </c>
      <c r="B24">
        <v>2309</v>
      </c>
      <c r="C24" t="s">
        <v>25</v>
      </c>
      <c r="D24" t="str" cm="1">
        <f t="array" ref="D24">_xlfn.XLOOKUP(1,
    ('team lookup'!$C$3:$C$97 = B24) * ('team lookup'!$A$3:$A$97 &lt;= A24) * (IF('team lookup'!$B$3:$B$97 = "", 9999, 'team lookup'!$B$3:$B$97) &gt;= A24),
    'team lookup'!$E$3:$E$97,
    "Other"
)</f>
        <v>Other</v>
      </c>
      <c r="E24">
        <f t="shared" si="0"/>
        <v>0</v>
      </c>
      <c r="F24">
        <f t="shared" si="1"/>
        <v>0</v>
      </c>
    </row>
    <row r="25" spans="1:6" x14ac:dyDescent="0.35">
      <c r="A25">
        <v>2008</v>
      </c>
      <c r="B25">
        <v>96</v>
      </c>
      <c r="C25" t="s">
        <v>26</v>
      </c>
      <c r="D25" t="str" cm="1">
        <f t="array" ref="D25">_xlfn.XLOOKUP(1,
    ('team lookup'!$C$3:$C$97 = B25) * ('team lookup'!$A$3:$A$97 &lt;= A25) * (IF('team lookup'!$B$3:$B$97 = "", 9999, 'team lookup'!$B$3:$B$97) &gt;= A25),
    'team lookup'!$E$3:$E$97,
    "Other"
)</f>
        <v>SEC</v>
      </c>
      <c r="E25">
        <f t="shared" si="0"/>
        <v>1</v>
      </c>
      <c r="F25">
        <f t="shared" si="1"/>
        <v>1</v>
      </c>
    </row>
    <row r="26" spans="1:6" x14ac:dyDescent="0.35">
      <c r="A26">
        <v>2008</v>
      </c>
      <c r="B26">
        <v>97</v>
      </c>
      <c r="C26" t="s">
        <v>27</v>
      </c>
      <c r="D26" t="str" cm="1">
        <f t="array" ref="D26">_xlfn.XLOOKUP(1,
    ('team lookup'!$C$3:$C$97 = B26) * ('team lookup'!$A$3:$A$97 &lt;= A26) * (IF('team lookup'!$B$3:$B$97 = "", 9999, 'team lookup'!$B$3:$B$97) &gt;= A26),
    'team lookup'!$E$3:$E$97,
    "Other"
)</f>
        <v>Big East</v>
      </c>
      <c r="E26">
        <f t="shared" si="0"/>
        <v>0</v>
      </c>
      <c r="F26">
        <f t="shared" si="1"/>
        <v>1</v>
      </c>
    </row>
    <row r="27" spans="1:6" x14ac:dyDescent="0.35">
      <c r="A27">
        <v>2008</v>
      </c>
      <c r="B27">
        <v>269</v>
      </c>
      <c r="C27" t="s">
        <v>28</v>
      </c>
      <c r="D27" t="str" cm="1">
        <f t="array" ref="D27">_xlfn.XLOOKUP(1,
    ('team lookup'!$C$3:$C$97 = B27) * ('team lookup'!$A$3:$A$97 &lt;= A27) * (IF('team lookup'!$B$3:$B$97 = "", 9999, 'team lookup'!$B$3:$B$97) &gt;= A27),
    'team lookup'!$E$3:$E$97,
    "Other"
)</f>
        <v>Big East</v>
      </c>
      <c r="E27">
        <f t="shared" si="0"/>
        <v>0</v>
      </c>
      <c r="F27">
        <f t="shared" si="1"/>
        <v>1</v>
      </c>
    </row>
    <row r="28" spans="1:6" x14ac:dyDescent="0.35">
      <c r="A28">
        <v>2008</v>
      </c>
      <c r="B28">
        <v>235</v>
      </c>
      <c r="C28" t="s">
        <v>29</v>
      </c>
      <c r="D28" t="str" cm="1">
        <f t="array" ref="D28">_xlfn.XLOOKUP(1,
    ('team lookup'!$C$3:$C$97 = B28) * ('team lookup'!$A$3:$A$97 &lt;= A28) * (IF('team lookup'!$B$3:$B$97 = "", 9999, 'team lookup'!$B$3:$B$97) &gt;= A28),
    'team lookup'!$E$3:$E$97,
    "Other"
)</f>
        <v>Other</v>
      </c>
      <c r="E28">
        <f t="shared" si="0"/>
        <v>0</v>
      </c>
      <c r="F28">
        <f t="shared" si="1"/>
        <v>0</v>
      </c>
    </row>
    <row r="29" spans="1:6" x14ac:dyDescent="0.35">
      <c r="A29">
        <v>2008</v>
      </c>
      <c r="B29">
        <v>2390</v>
      </c>
      <c r="C29" t="s">
        <v>30</v>
      </c>
      <c r="D29" t="str" cm="1">
        <f t="array" ref="D29">_xlfn.XLOOKUP(1,
    ('team lookup'!$C$3:$C$97 = B29) * ('team lookup'!$A$3:$A$97 &lt;= A29) * (IF('team lookup'!$B$3:$B$97 = "", 9999, 'team lookup'!$B$3:$B$97) &gt;= A29),
    'team lookup'!$E$3:$E$97,
    "Other"
)</f>
        <v>ACC</v>
      </c>
      <c r="E29">
        <f t="shared" si="0"/>
        <v>1</v>
      </c>
      <c r="F29">
        <f t="shared" si="1"/>
        <v>1</v>
      </c>
    </row>
    <row r="30" spans="1:6" x14ac:dyDescent="0.35">
      <c r="A30">
        <v>2008</v>
      </c>
      <c r="B30">
        <v>127</v>
      </c>
      <c r="C30" t="s">
        <v>31</v>
      </c>
      <c r="D30" t="str" cm="1">
        <f t="array" ref="D30">_xlfn.XLOOKUP(1,
    ('team lookup'!$C$3:$C$97 = B30) * ('team lookup'!$A$3:$A$97 &lt;= A30) * (IF('team lookup'!$B$3:$B$97 = "", 9999, 'team lookup'!$B$3:$B$97) &gt;= A30),
    'team lookup'!$E$3:$E$97,
    "Other"
)</f>
        <v>Big Ten</v>
      </c>
      <c r="E30">
        <f t="shared" si="0"/>
        <v>0</v>
      </c>
      <c r="F30">
        <f t="shared" si="1"/>
        <v>1</v>
      </c>
    </row>
    <row r="31" spans="1:6" x14ac:dyDescent="0.35">
      <c r="A31">
        <v>2008</v>
      </c>
      <c r="B31">
        <v>2400</v>
      </c>
      <c r="C31" t="s">
        <v>32</v>
      </c>
      <c r="D31" t="str" cm="1">
        <f t="array" ref="D31">_xlfn.XLOOKUP(1,
    ('team lookup'!$C$3:$C$97 = B31) * ('team lookup'!$A$3:$A$97 &lt;= A31) * (IF('team lookup'!$B$3:$B$97 = "", 9999, 'team lookup'!$B$3:$B$97) &gt;= A31),
    'team lookup'!$E$3:$E$97,
    "Other"
)</f>
        <v>Other</v>
      </c>
      <c r="E31">
        <f t="shared" si="0"/>
        <v>0</v>
      </c>
      <c r="F31">
        <f t="shared" si="1"/>
        <v>0</v>
      </c>
    </row>
    <row r="32" spans="1:6" x14ac:dyDescent="0.35">
      <c r="A32">
        <v>2008</v>
      </c>
      <c r="B32">
        <v>344</v>
      </c>
      <c r="C32" t="s">
        <v>33</v>
      </c>
      <c r="D32" t="str" cm="1">
        <f t="array" ref="D32">_xlfn.XLOOKUP(1,
    ('team lookup'!$C$3:$C$97 = B32) * ('team lookup'!$A$3:$A$97 &lt;= A32) * (IF('team lookup'!$B$3:$B$97 = "", 9999, 'team lookup'!$B$3:$B$97) &gt;= A32),
    'team lookup'!$E$3:$E$97,
    "Other"
)</f>
        <v>SEC</v>
      </c>
      <c r="E32">
        <f t="shared" si="0"/>
        <v>1</v>
      </c>
      <c r="F32">
        <f t="shared" si="1"/>
        <v>1</v>
      </c>
    </row>
    <row r="33" spans="1:6" x14ac:dyDescent="0.35">
      <c r="A33">
        <v>2008</v>
      </c>
      <c r="B33">
        <v>116</v>
      </c>
      <c r="C33" t="s">
        <v>34</v>
      </c>
      <c r="D33" t="str" cm="1">
        <f t="array" ref="D33">_xlfn.XLOOKUP(1,
    ('team lookup'!$C$3:$C$97 = B33) * ('team lookup'!$A$3:$A$97 &lt;= A33) * (IF('team lookup'!$B$3:$B$97 = "", 9999, 'team lookup'!$B$3:$B$97) &gt;= A33),
    'team lookup'!$E$3:$E$97,
    "Other"
)</f>
        <v>Other</v>
      </c>
      <c r="E33">
        <f t="shared" si="0"/>
        <v>0</v>
      </c>
      <c r="F33">
        <f t="shared" si="1"/>
        <v>0</v>
      </c>
    </row>
    <row r="34" spans="1:6" x14ac:dyDescent="0.35">
      <c r="A34">
        <v>2008</v>
      </c>
      <c r="B34">
        <v>153</v>
      </c>
      <c r="C34" t="s">
        <v>35</v>
      </c>
      <c r="D34" t="str" cm="1">
        <f t="array" ref="D34">_xlfn.XLOOKUP(1,
    ('team lookup'!$C$3:$C$97 = B34) * ('team lookup'!$A$3:$A$97 &lt;= A34) * (IF('team lookup'!$B$3:$B$97 = "", 9999, 'team lookup'!$B$3:$B$97) &gt;= A34),
    'team lookup'!$E$3:$E$97,
    "Other"
)</f>
        <v>ACC</v>
      </c>
      <c r="E34">
        <f t="shared" si="0"/>
        <v>1</v>
      </c>
      <c r="F34">
        <f t="shared" si="1"/>
        <v>1</v>
      </c>
    </row>
    <row r="35" spans="1:6" x14ac:dyDescent="0.35">
      <c r="A35">
        <v>2008</v>
      </c>
      <c r="B35">
        <v>87</v>
      </c>
      <c r="C35" t="s">
        <v>36</v>
      </c>
      <c r="D35" t="str" cm="1">
        <f t="array" ref="D35">_xlfn.XLOOKUP(1,
    ('team lookup'!$C$3:$C$97 = B35) * ('team lookup'!$A$3:$A$97 &lt;= A35) * (IF('team lookup'!$B$3:$B$97 = "", 9999, 'team lookup'!$B$3:$B$97) &gt;= A35),
    'team lookup'!$E$3:$E$97,
    "Other"
)</f>
        <v>Big East</v>
      </c>
      <c r="E35">
        <f t="shared" si="0"/>
        <v>0</v>
      </c>
      <c r="F35">
        <f t="shared" si="1"/>
        <v>1</v>
      </c>
    </row>
    <row r="36" spans="1:6" x14ac:dyDescent="0.35">
      <c r="A36">
        <v>2009</v>
      </c>
      <c r="B36">
        <v>2006</v>
      </c>
      <c r="C36" t="s">
        <v>37</v>
      </c>
      <c r="D36" t="str" cm="1">
        <f t="array" ref="D36">_xlfn.XLOOKUP(1,
    ('team lookup'!$C$3:$C$97 = B36) * ('team lookup'!$A$3:$A$97 &lt;= A36) * (IF('team lookup'!$B$3:$B$97 = "", 9999, 'team lookup'!$B$3:$B$97) &gt;= A36),
    'team lookup'!$E$3:$E$97,
    "Other"
)</f>
        <v>Other</v>
      </c>
      <c r="E36">
        <f t="shared" si="0"/>
        <v>0</v>
      </c>
      <c r="F36">
        <f t="shared" si="1"/>
        <v>0</v>
      </c>
    </row>
    <row r="37" spans="1:6" x14ac:dyDescent="0.35">
      <c r="A37">
        <v>2009</v>
      </c>
      <c r="B37">
        <v>2011</v>
      </c>
      <c r="C37" t="s">
        <v>38</v>
      </c>
      <c r="D37" t="str" cm="1">
        <f t="array" ref="D37">_xlfn.XLOOKUP(1,
    ('team lookup'!$C$3:$C$97 = B37) * ('team lookup'!$A$3:$A$97 &lt;= A37) * (IF('team lookup'!$B$3:$B$97 = "", 9999, 'team lookup'!$B$3:$B$97) &gt;= A37),
    'team lookup'!$E$3:$E$97,
    "Other"
)</f>
        <v>Other</v>
      </c>
      <c r="E37">
        <f t="shared" si="0"/>
        <v>0</v>
      </c>
      <c r="F37">
        <f t="shared" si="1"/>
        <v>0</v>
      </c>
    </row>
    <row r="38" spans="1:6" x14ac:dyDescent="0.35">
      <c r="A38">
        <v>2009</v>
      </c>
      <c r="B38">
        <v>44</v>
      </c>
      <c r="C38" t="s">
        <v>3</v>
      </c>
      <c r="D38" t="str" cm="1">
        <f t="array" ref="D38">_xlfn.XLOOKUP(1,
    ('team lookup'!$C$3:$C$97 = B38) * ('team lookup'!$A$3:$A$97 &lt;= A38) * (IF('team lookup'!$B$3:$B$97 = "", 9999, 'team lookup'!$B$3:$B$97) &gt;= A38),
    'team lookup'!$E$3:$E$97,
    "Other"
)</f>
        <v>Other</v>
      </c>
      <c r="E38">
        <f t="shared" si="0"/>
        <v>0</v>
      </c>
      <c r="F38">
        <f t="shared" si="1"/>
        <v>0</v>
      </c>
    </row>
    <row r="39" spans="1:6" x14ac:dyDescent="0.35">
      <c r="A39">
        <v>2009</v>
      </c>
      <c r="B39">
        <v>12</v>
      </c>
      <c r="C39" t="s">
        <v>4</v>
      </c>
      <c r="D39" t="str" cm="1">
        <f t="array" ref="D39">_xlfn.XLOOKUP(1,
    ('team lookup'!$C$3:$C$97 = B39) * ('team lookup'!$A$3:$A$97 &lt;= A39) * (IF('team lookup'!$B$3:$B$97 = "", 9999, 'team lookup'!$B$3:$B$97) &gt;= A39),
    'team lookup'!$E$3:$E$97,
    "Other"
)</f>
        <v>Other</v>
      </c>
      <c r="E39">
        <f t="shared" si="0"/>
        <v>0</v>
      </c>
      <c r="F39">
        <f t="shared" si="1"/>
        <v>0</v>
      </c>
    </row>
    <row r="40" spans="1:6" x14ac:dyDescent="0.35">
      <c r="A40">
        <v>2009</v>
      </c>
      <c r="B40">
        <v>9</v>
      </c>
      <c r="C40" t="s">
        <v>39</v>
      </c>
      <c r="D40" t="str" cm="1">
        <f t="array" ref="D40">_xlfn.XLOOKUP(1,
    ('team lookup'!$C$3:$C$97 = B40) * ('team lookup'!$A$3:$A$97 &lt;= A40) * (IF('team lookup'!$B$3:$B$97 = "", 9999, 'team lookup'!$B$3:$B$97) &gt;= A40),
    'team lookup'!$E$3:$E$97,
    "Other"
)</f>
        <v>Other</v>
      </c>
      <c r="E40">
        <f t="shared" si="0"/>
        <v>0</v>
      </c>
      <c r="F40">
        <f t="shared" si="1"/>
        <v>0</v>
      </c>
    </row>
    <row r="41" spans="1:6" x14ac:dyDescent="0.35">
      <c r="A41">
        <v>2009</v>
      </c>
      <c r="B41">
        <v>2066</v>
      </c>
      <c r="C41" t="s">
        <v>40</v>
      </c>
      <c r="D41" t="str" cm="1">
        <f t="array" ref="D41">_xlfn.XLOOKUP(1,
    ('team lookup'!$C$3:$C$97 = B41) * ('team lookup'!$A$3:$A$97 &lt;= A41) * (IF('team lookup'!$B$3:$B$97 = "", 9999, 'team lookup'!$B$3:$B$97) &gt;= A41),
    'team lookup'!$E$3:$E$97,
    "Other"
)</f>
        <v>Other</v>
      </c>
      <c r="E41">
        <f t="shared" si="0"/>
        <v>0</v>
      </c>
      <c r="F41">
        <f t="shared" si="1"/>
        <v>0</v>
      </c>
    </row>
    <row r="42" spans="1:6" x14ac:dyDescent="0.35">
      <c r="A42">
        <v>2009</v>
      </c>
      <c r="B42">
        <v>103</v>
      </c>
      <c r="C42" t="s">
        <v>41</v>
      </c>
      <c r="D42" t="str" cm="1">
        <f t="array" ref="D42">_xlfn.XLOOKUP(1,
    ('team lookup'!$C$3:$C$97 = B42) * ('team lookup'!$A$3:$A$97 &lt;= A42) * (IF('team lookup'!$B$3:$B$97 = "", 9999, 'team lookup'!$B$3:$B$97) &gt;= A42),
    'team lookup'!$E$3:$E$97,
    "Other"
)</f>
        <v>ACC</v>
      </c>
      <c r="E42">
        <f t="shared" si="0"/>
        <v>1</v>
      </c>
      <c r="F42">
        <f t="shared" si="1"/>
        <v>1</v>
      </c>
    </row>
    <row r="43" spans="1:6" x14ac:dyDescent="0.35">
      <c r="A43">
        <v>2009</v>
      </c>
      <c r="B43">
        <v>2086</v>
      </c>
      <c r="C43" t="s">
        <v>10</v>
      </c>
      <c r="D43" t="str" cm="1">
        <f t="array" ref="D43">_xlfn.XLOOKUP(1,
    ('team lookup'!$C$3:$C$97 = B43) * ('team lookup'!$A$3:$A$97 &lt;= A43) * (IF('team lookup'!$B$3:$B$97 = "", 9999, 'team lookup'!$B$3:$B$97) &gt;= A43),
    'team lookup'!$E$3:$E$97,
    "Other"
)</f>
        <v>Other</v>
      </c>
      <c r="E43">
        <f t="shared" si="0"/>
        <v>0</v>
      </c>
      <c r="F43">
        <f t="shared" si="1"/>
        <v>0</v>
      </c>
    </row>
    <row r="44" spans="1:6" x14ac:dyDescent="0.35">
      <c r="A44">
        <v>2009</v>
      </c>
      <c r="B44">
        <v>252</v>
      </c>
      <c r="C44" t="s">
        <v>11</v>
      </c>
      <c r="D44" t="str" cm="1">
        <f t="array" ref="D44">_xlfn.XLOOKUP(1,
    ('team lookup'!$C$3:$C$97 = B44) * ('team lookup'!$A$3:$A$97 &lt;= A44) * (IF('team lookup'!$B$3:$B$97 = "", 9999, 'team lookup'!$B$3:$B$97) &gt;= A44),
    'team lookup'!$E$3:$E$97,
    "Other"
)</f>
        <v>Other</v>
      </c>
      <c r="E44">
        <f t="shared" si="0"/>
        <v>0</v>
      </c>
      <c r="F44">
        <f t="shared" si="1"/>
        <v>0</v>
      </c>
    </row>
    <row r="45" spans="1:6" x14ac:dyDescent="0.35">
      <c r="A45">
        <v>2009</v>
      </c>
      <c r="B45">
        <v>25</v>
      </c>
      <c r="C45" t="s">
        <v>42</v>
      </c>
      <c r="D45" t="str" cm="1">
        <f t="array" ref="D45">_xlfn.XLOOKUP(1,
    ('team lookup'!$C$3:$C$97 = B45) * ('team lookup'!$A$3:$A$97 &lt;= A45) * (IF('team lookup'!$B$3:$B$97 = "", 9999, 'team lookup'!$B$3:$B$97) &gt;= A45),
    'team lookup'!$E$3:$E$97,
    "Other"
)</f>
        <v>Other</v>
      </c>
      <c r="E45">
        <f t="shared" si="0"/>
        <v>0</v>
      </c>
      <c r="F45">
        <f t="shared" si="1"/>
        <v>0</v>
      </c>
    </row>
    <row r="46" spans="1:6" x14ac:dyDescent="0.35">
      <c r="A46">
        <v>2009</v>
      </c>
      <c r="B46">
        <v>236</v>
      </c>
      <c r="C46" t="s">
        <v>43</v>
      </c>
      <c r="D46" t="str" cm="1">
        <f t="array" ref="D46">_xlfn.XLOOKUP(1,
    ('team lookup'!$C$3:$C$97 = B46) * ('team lookup'!$A$3:$A$97 &lt;= A46) * (IF('team lookup'!$B$3:$B$97 = "", 9999, 'team lookup'!$B$3:$B$97) &gt;= A46),
    'team lookup'!$E$3:$E$97,
    "Other"
)</f>
        <v>Other</v>
      </c>
      <c r="E46">
        <f t="shared" si="0"/>
        <v>0</v>
      </c>
      <c r="F46">
        <f t="shared" si="1"/>
        <v>0</v>
      </c>
    </row>
    <row r="47" spans="1:6" x14ac:dyDescent="0.35">
      <c r="A47">
        <v>2009</v>
      </c>
      <c r="B47">
        <v>228</v>
      </c>
      <c r="C47" t="s">
        <v>12</v>
      </c>
      <c r="D47" t="str" cm="1">
        <f t="array" ref="D47">_xlfn.XLOOKUP(1,
    ('team lookup'!$C$3:$C$97 = B47) * ('team lookup'!$A$3:$A$97 &lt;= A47) * (IF('team lookup'!$B$3:$B$97 = "", 9999, 'team lookup'!$B$3:$B$97) &gt;= A47),
    'team lookup'!$E$3:$E$97,
    "Other"
)</f>
        <v>ACC</v>
      </c>
      <c r="E47">
        <f t="shared" si="0"/>
        <v>1</v>
      </c>
      <c r="F47">
        <f t="shared" si="1"/>
        <v>1</v>
      </c>
    </row>
    <row r="48" spans="1:6" x14ac:dyDescent="0.35">
      <c r="A48">
        <v>2009</v>
      </c>
      <c r="B48">
        <v>325</v>
      </c>
      <c r="C48" t="s">
        <v>44</v>
      </c>
      <c r="D48" t="str" cm="1">
        <f t="array" ref="D48">_xlfn.XLOOKUP(1,
    ('team lookup'!$C$3:$C$97 = B48) * ('team lookup'!$A$3:$A$97 &lt;= A48) * (IF('team lookup'!$B$3:$B$97 = "", 9999, 'team lookup'!$B$3:$B$97) &gt;= A48),
    'team lookup'!$E$3:$E$97,
    "Other"
)</f>
        <v>Other</v>
      </c>
      <c r="E48">
        <f t="shared" si="0"/>
        <v>0</v>
      </c>
      <c r="F48">
        <f t="shared" si="1"/>
        <v>0</v>
      </c>
    </row>
    <row r="49" spans="1:6" x14ac:dyDescent="0.35">
      <c r="A49">
        <v>2009</v>
      </c>
      <c r="B49">
        <v>172</v>
      </c>
      <c r="C49" t="s">
        <v>13</v>
      </c>
      <c r="D49" t="str" cm="1">
        <f t="array" ref="D49">_xlfn.XLOOKUP(1,
    ('team lookup'!$C$3:$C$97 = B49) * ('team lookup'!$A$3:$A$97 &lt;= A49) * (IF('team lookup'!$B$3:$B$97 = "", 9999, 'team lookup'!$B$3:$B$97) &gt;= A49),
    'team lookup'!$E$3:$E$97,
    "Other"
)</f>
        <v>Other</v>
      </c>
      <c r="E49">
        <f t="shared" si="0"/>
        <v>0</v>
      </c>
      <c r="F49">
        <f t="shared" si="1"/>
        <v>0</v>
      </c>
    </row>
    <row r="50" spans="1:6" x14ac:dyDescent="0.35">
      <c r="A50">
        <v>2009</v>
      </c>
      <c r="B50">
        <v>2463</v>
      </c>
      <c r="C50" t="s">
        <v>45</v>
      </c>
      <c r="D50" t="str" cm="1">
        <f t="array" ref="D50">_xlfn.XLOOKUP(1,
    ('team lookup'!$C$3:$C$97 = B50) * ('team lookup'!$A$3:$A$97 &lt;= A50) * (IF('team lookup'!$B$3:$B$97 = "", 9999, 'team lookup'!$B$3:$B$97) &gt;= A50),
    'team lookup'!$E$3:$E$97,
    "Other"
)</f>
        <v>Other</v>
      </c>
      <c r="E50">
        <f t="shared" si="0"/>
        <v>0</v>
      </c>
      <c r="F50">
        <f t="shared" si="1"/>
        <v>0</v>
      </c>
    </row>
    <row r="51" spans="1:6" x14ac:dyDescent="0.35">
      <c r="A51">
        <v>2009</v>
      </c>
      <c r="B51">
        <v>2168</v>
      </c>
      <c r="C51" t="s">
        <v>46</v>
      </c>
      <c r="D51" t="str" cm="1">
        <f t="array" ref="D51">_xlfn.XLOOKUP(1,
    ('team lookup'!$C$3:$C$97 = B51) * ('team lookup'!$A$3:$A$97 &lt;= A51) * (IF('team lookup'!$B$3:$B$97 = "", 9999, 'team lookup'!$B$3:$B$97) &gt;= A51),
    'team lookup'!$E$3:$E$97,
    "Other"
)</f>
        <v>Other</v>
      </c>
      <c r="E51">
        <f t="shared" si="0"/>
        <v>0</v>
      </c>
      <c r="F51">
        <f t="shared" si="1"/>
        <v>0</v>
      </c>
    </row>
    <row r="52" spans="1:6" x14ac:dyDescent="0.35">
      <c r="A52">
        <v>2009</v>
      </c>
      <c r="B52">
        <v>150</v>
      </c>
      <c r="C52" t="s">
        <v>16</v>
      </c>
      <c r="D52" t="str" cm="1">
        <f t="array" ref="D52">_xlfn.XLOOKUP(1,
    ('team lookup'!$C$3:$C$97 = B52) * ('team lookup'!$A$3:$A$97 &lt;= A52) * (IF('team lookup'!$B$3:$B$97 = "", 9999, 'team lookup'!$B$3:$B$97) &gt;= A52),
    'team lookup'!$E$3:$E$97,
    "Other"
)</f>
        <v>ACC</v>
      </c>
      <c r="E52">
        <f t="shared" si="0"/>
        <v>1</v>
      </c>
      <c r="F52">
        <f t="shared" si="1"/>
        <v>1</v>
      </c>
    </row>
    <row r="53" spans="1:6" x14ac:dyDescent="0.35">
      <c r="A53">
        <v>2009</v>
      </c>
      <c r="B53">
        <v>2193</v>
      </c>
      <c r="C53" t="s">
        <v>47</v>
      </c>
      <c r="D53" t="str" cm="1">
        <f t="array" ref="D53">_xlfn.XLOOKUP(1,
    ('team lookup'!$C$3:$C$97 = B53) * ('team lookup'!$A$3:$A$97 &lt;= A53) * (IF('team lookup'!$B$3:$B$97 = "", 9999, 'team lookup'!$B$3:$B$97) &gt;= A53),
    'team lookup'!$E$3:$E$97,
    "Other"
)</f>
        <v>Other</v>
      </c>
      <c r="E53">
        <f t="shared" si="0"/>
        <v>0</v>
      </c>
      <c r="F53">
        <f t="shared" si="1"/>
        <v>0</v>
      </c>
    </row>
    <row r="54" spans="1:6" x14ac:dyDescent="0.35">
      <c r="A54">
        <v>2009</v>
      </c>
      <c r="B54">
        <v>52</v>
      </c>
      <c r="C54" t="s">
        <v>48</v>
      </c>
      <c r="D54" t="str" cm="1">
        <f t="array" ref="D54">_xlfn.XLOOKUP(1,
    ('team lookup'!$C$3:$C$97 = B54) * ('team lookup'!$A$3:$A$97 &lt;= A54) * (IF('team lookup'!$B$3:$B$97 = "", 9999, 'team lookup'!$B$3:$B$97) &gt;= A54),
    'team lookup'!$E$3:$E$97,
    "Other"
)</f>
        <v>ACC</v>
      </c>
      <c r="E54">
        <f t="shared" si="0"/>
        <v>1</v>
      </c>
      <c r="F54">
        <f t="shared" si="1"/>
        <v>1</v>
      </c>
    </row>
    <row r="55" spans="1:6" x14ac:dyDescent="0.35">
      <c r="A55">
        <v>2009</v>
      </c>
      <c r="B55">
        <v>2250</v>
      </c>
      <c r="C55" t="s">
        <v>21</v>
      </c>
      <c r="D55" t="str" cm="1">
        <f t="array" ref="D55">_xlfn.XLOOKUP(1,
    ('team lookup'!$C$3:$C$97 = B55) * ('team lookup'!$A$3:$A$97 &lt;= A55) * (IF('team lookup'!$B$3:$B$97 = "", 9999, 'team lookup'!$B$3:$B$97) &gt;= A55),
    'team lookup'!$E$3:$E$97,
    "Other"
)</f>
        <v>Other</v>
      </c>
      <c r="E55">
        <f t="shared" si="0"/>
        <v>0</v>
      </c>
      <c r="F55">
        <f t="shared" si="1"/>
        <v>0</v>
      </c>
    </row>
    <row r="56" spans="1:6" x14ac:dyDescent="0.35">
      <c r="A56">
        <v>2009</v>
      </c>
      <c r="B56">
        <v>356</v>
      </c>
      <c r="C56" t="s">
        <v>49</v>
      </c>
      <c r="D56" t="str" cm="1">
        <f t="array" ref="D56">_xlfn.XLOOKUP(1,
    ('team lookup'!$C$3:$C$97 = B56) * ('team lookup'!$A$3:$A$97 &lt;= A56) * (IF('team lookup'!$B$3:$B$97 = "", 9999, 'team lookup'!$B$3:$B$97) &gt;= A56),
    'team lookup'!$E$3:$E$97,
    "Other"
)</f>
        <v>Big Ten</v>
      </c>
      <c r="E56">
        <f t="shared" si="0"/>
        <v>0</v>
      </c>
      <c r="F56">
        <f t="shared" si="1"/>
        <v>1</v>
      </c>
    </row>
    <row r="57" spans="1:6" x14ac:dyDescent="0.35">
      <c r="A57">
        <v>2009</v>
      </c>
      <c r="B57">
        <v>2305</v>
      </c>
      <c r="C57" t="s">
        <v>23</v>
      </c>
      <c r="D57" t="str" cm="1">
        <f t="array" ref="D57">_xlfn.XLOOKUP(1,
    ('team lookup'!$C$3:$C$97 = B57) * ('team lookup'!$A$3:$A$97 &lt;= A57) * (IF('team lookup'!$B$3:$B$97 = "", 9999, 'team lookup'!$B$3:$B$97) &gt;= A57),
    'team lookup'!$E$3:$E$97,
    "Other"
)</f>
        <v>Big12</v>
      </c>
      <c r="E57">
        <f t="shared" si="0"/>
        <v>1</v>
      </c>
      <c r="F57">
        <f t="shared" si="1"/>
        <v>1</v>
      </c>
    </row>
    <row r="58" spans="1:6" x14ac:dyDescent="0.35">
      <c r="A58">
        <v>2009</v>
      </c>
      <c r="B58">
        <v>97</v>
      </c>
      <c r="C58" t="s">
        <v>27</v>
      </c>
      <c r="D58" t="str" cm="1">
        <f t="array" ref="D58">_xlfn.XLOOKUP(1,
    ('team lookup'!$C$3:$C$97 = B58) * ('team lookup'!$A$3:$A$97 &lt;= A58) * (IF('team lookup'!$B$3:$B$97 = "", 9999, 'team lookup'!$B$3:$B$97) &gt;= A58),
    'team lookup'!$E$3:$E$97,
    "Other"
)</f>
        <v>Big East</v>
      </c>
      <c r="E58">
        <f t="shared" si="0"/>
        <v>0</v>
      </c>
      <c r="F58">
        <f t="shared" si="1"/>
        <v>1</v>
      </c>
    </row>
    <row r="59" spans="1:6" x14ac:dyDescent="0.35">
      <c r="A59">
        <v>2009</v>
      </c>
      <c r="B59">
        <v>99</v>
      </c>
      <c r="C59" t="s">
        <v>50</v>
      </c>
      <c r="D59" t="str" cm="1">
        <f t="array" ref="D59">_xlfn.XLOOKUP(1,
    ('team lookup'!$C$3:$C$97 = B59) * ('team lookup'!$A$3:$A$97 &lt;= A59) * (IF('team lookup'!$B$3:$B$97 = "", 9999, 'team lookup'!$B$3:$B$97) &gt;= A59),
    'team lookup'!$E$3:$E$97,
    "Other"
)</f>
        <v>SEC</v>
      </c>
      <c r="E59">
        <f t="shared" si="0"/>
        <v>1</v>
      </c>
      <c r="F59">
        <f t="shared" si="1"/>
        <v>1</v>
      </c>
    </row>
    <row r="60" spans="1:6" x14ac:dyDescent="0.35">
      <c r="A60">
        <v>2009</v>
      </c>
      <c r="B60">
        <v>269</v>
      </c>
      <c r="C60" t="s">
        <v>28</v>
      </c>
      <c r="D60" t="str" cm="1">
        <f t="array" ref="D60">_xlfn.XLOOKUP(1,
    ('team lookup'!$C$3:$C$97 = B60) * ('team lookup'!$A$3:$A$97 &lt;= A60) * (IF('team lookup'!$B$3:$B$97 = "", 9999, 'team lookup'!$B$3:$B$97) &gt;= A60),
    'team lookup'!$E$3:$E$97,
    "Other"
)</f>
        <v>Big East</v>
      </c>
      <c r="E60">
        <f t="shared" si="0"/>
        <v>0</v>
      </c>
      <c r="F60">
        <f t="shared" si="1"/>
        <v>1</v>
      </c>
    </row>
    <row r="61" spans="1:6" x14ac:dyDescent="0.35">
      <c r="A61">
        <v>2009</v>
      </c>
      <c r="B61">
        <v>120</v>
      </c>
      <c r="C61" t="s">
        <v>51</v>
      </c>
      <c r="D61" t="str" cm="1">
        <f t="array" ref="D61">_xlfn.XLOOKUP(1,
    ('team lookup'!$C$3:$C$97 = B61) * ('team lookup'!$A$3:$A$97 &lt;= A61) * (IF('team lookup'!$B$3:$B$97 = "", 9999, 'team lookup'!$B$3:$B$97) &gt;= A61),
    'team lookup'!$E$3:$E$97,
    "Other"
)</f>
        <v>ACC</v>
      </c>
      <c r="E61">
        <f t="shared" si="0"/>
        <v>1</v>
      </c>
      <c r="F61">
        <f t="shared" si="1"/>
        <v>1</v>
      </c>
    </row>
    <row r="62" spans="1:6" x14ac:dyDescent="0.35">
      <c r="A62">
        <v>2009</v>
      </c>
      <c r="B62">
        <v>235</v>
      </c>
      <c r="C62" t="s">
        <v>29</v>
      </c>
      <c r="D62" t="str" cm="1">
        <f t="array" ref="D62">_xlfn.XLOOKUP(1,
    ('team lookup'!$C$3:$C$97 = B62) * ('team lookup'!$A$3:$A$97 &lt;= A62) * (IF('team lookup'!$B$3:$B$97 = "", 9999, 'team lookup'!$B$3:$B$97) &gt;= A62),
    'team lookup'!$E$3:$E$97,
    "Other"
)</f>
        <v>Other</v>
      </c>
      <c r="E62">
        <f t="shared" si="0"/>
        <v>0</v>
      </c>
      <c r="F62">
        <f t="shared" si="1"/>
        <v>0</v>
      </c>
    </row>
    <row r="63" spans="1:6" x14ac:dyDescent="0.35">
      <c r="A63">
        <v>2009</v>
      </c>
      <c r="B63">
        <v>130</v>
      </c>
      <c r="C63" t="s">
        <v>52</v>
      </c>
      <c r="D63" t="str" cm="1">
        <f t="array" ref="D63">_xlfn.XLOOKUP(1,
    ('team lookup'!$C$3:$C$97 = B63) * ('team lookup'!$A$3:$A$97 &lt;= A63) * (IF('team lookup'!$B$3:$B$97 = "", 9999, 'team lookup'!$B$3:$B$97) &gt;= A63),
    'team lookup'!$E$3:$E$97,
    "Other"
)</f>
        <v>Big Ten</v>
      </c>
      <c r="E63">
        <f t="shared" si="0"/>
        <v>0</v>
      </c>
      <c r="F63">
        <f t="shared" si="1"/>
        <v>1</v>
      </c>
    </row>
    <row r="64" spans="1:6" x14ac:dyDescent="0.35">
      <c r="A64">
        <v>2009</v>
      </c>
      <c r="B64">
        <v>127</v>
      </c>
      <c r="C64" t="s">
        <v>31</v>
      </c>
      <c r="D64" t="str" cm="1">
        <f t="array" ref="D64">_xlfn.XLOOKUP(1,
    ('team lookup'!$C$3:$C$97 = B64) * ('team lookup'!$A$3:$A$97 &lt;= A64) * (IF('team lookup'!$B$3:$B$97 = "", 9999, 'team lookup'!$B$3:$B$97) &gt;= A64),
    'team lookup'!$E$3:$E$97,
    "Other"
)</f>
        <v>Big Ten</v>
      </c>
      <c r="E64">
        <f t="shared" si="0"/>
        <v>0</v>
      </c>
      <c r="F64">
        <f t="shared" si="1"/>
        <v>1</v>
      </c>
    </row>
    <row r="65" spans="1:6" x14ac:dyDescent="0.35">
      <c r="A65">
        <v>2009</v>
      </c>
      <c r="B65">
        <v>135</v>
      </c>
      <c r="C65" t="s">
        <v>53</v>
      </c>
      <c r="D65" t="str" cm="1">
        <f t="array" ref="D65">_xlfn.XLOOKUP(1,
    ('team lookup'!$C$3:$C$97 = B65) * ('team lookup'!$A$3:$A$97 &lt;= A65) * (IF('team lookup'!$B$3:$B$97 = "", 9999, 'team lookup'!$B$3:$B$97) &gt;= A65),
    'team lookup'!$E$3:$E$97,
    "Other"
)</f>
        <v>Big Ten</v>
      </c>
      <c r="E65">
        <f t="shared" si="0"/>
        <v>0</v>
      </c>
      <c r="F65">
        <f t="shared" si="1"/>
        <v>1</v>
      </c>
    </row>
    <row r="66" spans="1:6" x14ac:dyDescent="0.35">
      <c r="A66">
        <v>2009</v>
      </c>
      <c r="B66">
        <v>344</v>
      </c>
      <c r="C66" t="s">
        <v>33</v>
      </c>
      <c r="D66" t="str" cm="1">
        <f t="array" ref="D66">_xlfn.XLOOKUP(1,
    ('team lookup'!$C$3:$C$97 = B66) * ('team lookup'!$A$3:$A$97 &lt;= A66) * (IF('team lookup'!$B$3:$B$97 = "", 9999, 'team lookup'!$B$3:$B$97) &gt;= A66),
    'team lookup'!$E$3:$E$97,
    "Other"
)</f>
        <v>SEC</v>
      </c>
      <c r="E66">
        <f t="shared" si="0"/>
        <v>1</v>
      </c>
      <c r="F66">
        <f t="shared" si="1"/>
        <v>1</v>
      </c>
    </row>
    <row r="67" spans="1:6" x14ac:dyDescent="0.35">
      <c r="A67">
        <v>2009</v>
      </c>
      <c r="B67">
        <v>142</v>
      </c>
      <c r="C67" t="s">
        <v>54</v>
      </c>
      <c r="D67" t="str" cm="1">
        <f t="array" ref="D67">_xlfn.XLOOKUP(1,
    ('team lookup'!$C$3:$C$97 = B67) * ('team lookup'!$A$3:$A$97 &lt;= A67) * (IF('team lookup'!$B$3:$B$97 = "", 9999, 'team lookup'!$B$3:$B$97) &gt;= A67),
    'team lookup'!$E$3:$E$97,
    "Other"
)</f>
        <v>Big12</v>
      </c>
      <c r="E67">
        <f t="shared" ref="E67:E130" si="2">IF(OR(D67="ACC", D67="SEC", D67="Big12"), 1,0)</f>
        <v>1</v>
      </c>
      <c r="F67">
        <f t="shared" ref="F67:F130" si="3">IF(D67&lt;&gt;"Other", 1,0)</f>
        <v>1</v>
      </c>
    </row>
    <row r="68" spans="1:6" x14ac:dyDescent="0.35">
      <c r="A68">
        <v>2009</v>
      </c>
      <c r="B68">
        <v>2413</v>
      </c>
      <c r="C68" t="s">
        <v>55</v>
      </c>
      <c r="D68" t="str" cm="1">
        <f t="array" ref="D68">_xlfn.XLOOKUP(1,
    ('team lookup'!$C$3:$C$97 = B68) * ('team lookup'!$A$3:$A$97 &lt;= A68) * (IF('team lookup'!$B$3:$B$97 = "", 9999, 'team lookup'!$B$3:$B$97) &gt;= A68),
    'team lookup'!$E$3:$E$97,
    "Other"
)</f>
        <v>Other</v>
      </c>
      <c r="E68">
        <f t="shared" si="2"/>
        <v>0</v>
      </c>
      <c r="F68">
        <f t="shared" si="3"/>
        <v>0</v>
      </c>
    </row>
    <row r="69" spans="1:6" x14ac:dyDescent="0.35">
      <c r="A69">
        <v>2009</v>
      </c>
      <c r="B69">
        <v>2415</v>
      </c>
      <c r="C69" t="s">
        <v>56</v>
      </c>
      <c r="D69" t="str" cm="1">
        <f t="array" ref="D69">_xlfn.XLOOKUP(1,
    ('team lookup'!$C$3:$C$97 = B69) * ('team lookup'!$A$3:$A$97 &lt;= A69) * (IF('team lookup'!$B$3:$B$97 = "", 9999, 'team lookup'!$B$3:$B$97) &gt;= A69),
    'team lookup'!$E$3:$E$97,
    "Other"
)</f>
        <v>Other</v>
      </c>
      <c r="E69">
        <f t="shared" si="2"/>
        <v>0</v>
      </c>
      <c r="F69">
        <f t="shared" si="3"/>
        <v>0</v>
      </c>
    </row>
    <row r="70" spans="1:6" x14ac:dyDescent="0.35">
      <c r="A70">
        <v>2010</v>
      </c>
      <c r="B70">
        <v>2029</v>
      </c>
      <c r="C70" t="s">
        <v>57</v>
      </c>
      <c r="D70" t="str" cm="1">
        <f t="array" ref="D70">_xlfn.XLOOKUP(1,
    ('team lookup'!$C$3:$C$97 = B70) * ('team lookup'!$A$3:$A$97 &lt;= A70) * (IF('team lookup'!$B$3:$B$97 = "", 9999, 'team lookup'!$B$3:$B$97) &gt;= A70),
    'team lookup'!$E$3:$E$97,
    "Other"
)</f>
        <v>Other</v>
      </c>
      <c r="E70">
        <f t="shared" si="2"/>
        <v>0</v>
      </c>
      <c r="F70">
        <f t="shared" si="3"/>
        <v>0</v>
      </c>
    </row>
    <row r="71" spans="1:6" x14ac:dyDescent="0.35">
      <c r="A71">
        <v>2010</v>
      </c>
      <c r="B71">
        <v>239</v>
      </c>
      <c r="C71" t="s">
        <v>7</v>
      </c>
      <c r="D71" t="str" cm="1">
        <f t="array" ref="D71">_xlfn.XLOOKUP(1,
    ('team lookup'!$C$3:$C$97 = B71) * ('team lookup'!$A$3:$A$97 &lt;= A71) * (IF('team lookup'!$B$3:$B$97 = "", 9999, 'team lookup'!$B$3:$B$97) &gt;= A71),
    'team lookup'!$E$3:$E$97,
    "Other"
)</f>
        <v>Big12</v>
      </c>
      <c r="E71">
        <f t="shared" si="2"/>
        <v>1</v>
      </c>
      <c r="F71">
        <f t="shared" si="3"/>
        <v>1</v>
      </c>
    </row>
    <row r="72" spans="1:6" x14ac:dyDescent="0.35">
      <c r="A72">
        <v>2010</v>
      </c>
      <c r="B72">
        <v>2086</v>
      </c>
      <c r="C72" t="s">
        <v>10</v>
      </c>
      <c r="D72" t="str" cm="1">
        <f t="array" ref="D72">_xlfn.XLOOKUP(1,
    ('team lookup'!$C$3:$C$97 = B72) * ('team lookup'!$A$3:$A$97 &lt;= A72) * (IF('team lookup'!$B$3:$B$97 = "", 9999, 'team lookup'!$B$3:$B$97) &gt;= A72),
    'team lookup'!$E$3:$E$97,
    "Other"
)</f>
        <v>Other</v>
      </c>
      <c r="E72">
        <f t="shared" si="2"/>
        <v>0</v>
      </c>
      <c r="F72">
        <f t="shared" si="3"/>
        <v>0</v>
      </c>
    </row>
    <row r="73" spans="1:6" x14ac:dyDescent="0.35">
      <c r="A73">
        <v>2010</v>
      </c>
      <c r="B73">
        <v>252</v>
      </c>
      <c r="C73" t="s">
        <v>11</v>
      </c>
      <c r="D73" t="str" cm="1">
        <f t="array" ref="D73">_xlfn.XLOOKUP(1,
    ('team lookup'!$C$3:$C$97 = B73) * ('team lookup'!$A$3:$A$97 &lt;= A73) * (IF('team lookup'!$B$3:$B$97 = "", 9999, 'team lookup'!$B$3:$B$97) &gt;= A73),
    'team lookup'!$E$3:$E$97,
    "Other"
)</f>
        <v>Other</v>
      </c>
      <c r="E73">
        <f t="shared" si="2"/>
        <v>0</v>
      </c>
      <c r="F73">
        <f t="shared" si="3"/>
        <v>0</v>
      </c>
    </row>
    <row r="74" spans="1:6" x14ac:dyDescent="0.35">
      <c r="A74">
        <v>2010</v>
      </c>
      <c r="B74">
        <v>25</v>
      </c>
      <c r="C74" t="s">
        <v>42</v>
      </c>
      <c r="D74" t="str" cm="1">
        <f t="array" ref="D74">_xlfn.XLOOKUP(1,
    ('team lookup'!$C$3:$C$97 = B74) * ('team lookup'!$A$3:$A$97 &lt;= A74) * (IF('team lookup'!$B$3:$B$97 = "", 9999, 'team lookup'!$B$3:$B$97) &gt;= A74),
    'team lookup'!$E$3:$E$97,
    "Other"
)</f>
        <v>Other</v>
      </c>
      <c r="E74">
        <f t="shared" si="2"/>
        <v>0</v>
      </c>
      <c r="F74">
        <f t="shared" si="3"/>
        <v>0</v>
      </c>
    </row>
    <row r="75" spans="1:6" x14ac:dyDescent="0.35">
      <c r="A75">
        <v>2010</v>
      </c>
      <c r="B75">
        <v>228</v>
      </c>
      <c r="C75" t="s">
        <v>12</v>
      </c>
      <c r="D75" t="str" cm="1">
        <f t="array" ref="D75">_xlfn.XLOOKUP(1,
    ('team lookup'!$C$3:$C$97 = B75) * ('team lookup'!$A$3:$A$97 &lt;= A75) * (IF('team lookup'!$B$3:$B$97 = "", 9999, 'team lookup'!$B$3:$B$97) &gt;= A75),
    'team lookup'!$E$3:$E$97,
    "Other"
)</f>
        <v>ACC</v>
      </c>
      <c r="E75">
        <f t="shared" si="2"/>
        <v>1</v>
      </c>
      <c r="F75">
        <f t="shared" si="3"/>
        <v>1</v>
      </c>
    </row>
    <row r="76" spans="1:6" x14ac:dyDescent="0.35">
      <c r="A76">
        <v>2010</v>
      </c>
      <c r="B76">
        <v>172</v>
      </c>
      <c r="C76" t="s">
        <v>13</v>
      </c>
      <c r="D76" t="str" cm="1">
        <f t="array" ref="D76">_xlfn.XLOOKUP(1,
    ('team lookup'!$C$3:$C$97 = B76) * ('team lookup'!$A$3:$A$97 &lt;= A76) * (IF('team lookup'!$B$3:$B$97 = "", 9999, 'team lookup'!$B$3:$B$97) &gt;= A76),
    'team lookup'!$E$3:$E$97,
    "Other"
)</f>
        <v>Other</v>
      </c>
      <c r="E76">
        <f t="shared" si="2"/>
        <v>0</v>
      </c>
      <c r="F76">
        <f t="shared" si="3"/>
        <v>0</v>
      </c>
    </row>
    <row r="77" spans="1:6" x14ac:dyDescent="0.35">
      <c r="A77">
        <v>2010</v>
      </c>
      <c r="B77">
        <v>150</v>
      </c>
      <c r="C77" t="s">
        <v>16</v>
      </c>
      <c r="D77" t="str" cm="1">
        <f t="array" ref="D77">_xlfn.XLOOKUP(1,
    ('team lookup'!$C$3:$C$97 = B77) * ('team lookup'!$A$3:$A$97 &lt;= A77) * (IF('team lookup'!$B$3:$B$97 = "", 9999, 'team lookup'!$B$3:$B$97) &gt;= A77),
    'team lookup'!$E$3:$E$97,
    "Other"
)</f>
        <v>ACC</v>
      </c>
      <c r="E77">
        <f t="shared" si="2"/>
        <v>1</v>
      </c>
      <c r="F77">
        <f t="shared" si="3"/>
        <v>1</v>
      </c>
    </row>
    <row r="78" spans="1:6" x14ac:dyDescent="0.35">
      <c r="A78">
        <v>2010</v>
      </c>
      <c r="B78">
        <v>2193</v>
      </c>
      <c r="C78" t="s">
        <v>47</v>
      </c>
      <c r="D78" t="str" cm="1">
        <f t="array" ref="D78">_xlfn.XLOOKUP(1,
    ('team lookup'!$C$3:$C$97 = B78) * ('team lookup'!$A$3:$A$97 &lt;= A78) * (IF('team lookup'!$B$3:$B$97 = "", 9999, 'team lookup'!$B$3:$B$97) &gt;= A78),
    'team lookup'!$E$3:$E$97,
    "Other"
)</f>
        <v>Other</v>
      </c>
      <c r="E78">
        <f t="shared" si="2"/>
        <v>0</v>
      </c>
      <c r="F78">
        <f t="shared" si="3"/>
        <v>0</v>
      </c>
    </row>
    <row r="79" spans="1:6" x14ac:dyDescent="0.35">
      <c r="A79">
        <v>2010</v>
      </c>
      <c r="B79">
        <v>57</v>
      </c>
      <c r="C79" t="s">
        <v>58</v>
      </c>
      <c r="D79" t="str" cm="1">
        <f t="array" ref="D79">_xlfn.XLOOKUP(1,
    ('team lookup'!$C$3:$C$97 = B79) * ('team lookup'!$A$3:$A$97 &lt;= A79) * (IF('team lookup'!$B$3:$B$97 = "", 9999, 'team lookup'!$B$3:$B$97) &gt;= A79),
    'team lookup'!$E$3:$E$97,
    "Other"
)</f>
        <v>SEC</v>
      </c>
      <c r="E79">
        <f t="shared" si="2"/>
        <v>1</v>
      </c>
      <c r="F79">
        <f t="shared" si="3"/>
        <v>1</v>
      </c>
    </row>
    <row r="80" spans="1:6" x14ac:dyDescent="0.35">
      <c r="A80">
        <v>2010</v>
      </c>
      <c r="B80">
        <v>52</v>
      </c>
      <c r="C80" t="s">
        <v>48</v>
      </c>
      <c r="D80" t="str" cm="1">
        <f t="array" ref="D80">_xlfn.XLOOKUP(1,
    ('team lookup'!$C$3:$C$97 = B80) * ('team lookup'!$A$3:$A$97 &lt;= A80) * (IF('team lookup'!$B$3:$B$97 = "", 9999, 'team lookup'!$B$3:$B$97) &gt;= A80),
    'team lookup'!$E$3:$E$97,
    "Other"
)</f>
        <v>ACC</v>
      </c>
      <c r="E80">
        <f t="shared" si="2"/>
        <v>1</v>
      </c>
      <c r="F80">
        <f t="shared" si="3"/>
        <v>1</v>
      </c>
    </row>
    <row r="81" spans="1:6" x14ac:dyDescent="0.35">
      <c r="A81">
        <v>2010</v>
      </c>
      <c r="B81">
        <v>46</v>
      </c>
      <c r="C81" t="s">
        <v>19</v>
      </c>
      <c r="D81" t="str" cm="1">
        <f t="array" ref="D81">_xlfn.XLOOKUP(1,
    ('team lookup'!$C$3:$C$97 = B81) * ('team lookup'!$A$3:$A$97 &lt;= A81) * (IF('team lookup'!$B$3:$B$97 = "", 9999, 'team lookup'!$B$3:$B$97) &gt;= A81),
    'team lookup'!$E$3:$E$97,
    "Other"
)</f>
        <v>Big East</v>
      </c>
      <c r="E81">
        <f t="shared" si="2"/>
        <v>0</v>
      </c>
      <c r="F81">
        <f t="shared" si="3"/>
        <v>1</v>
      </c>
    </row>
    <row r="82" spans="1:6" x14ac:dyDescent="0.35">
      <c r="A82">
        <v>2010</v>
      </c>
      <c r="B82">
        <v>59</v>
      </c>
      <c r="C82" t="s">
        <v>59</v>
      </c>
      <c r="D82" t="str" cm="1">
        <f t="array" ref="D82">_xlfn.XLOOKUP(1,
    ('team lookup'!$C$3:$C$97 = B82) * ('team lookup'!$A$3:$A$97 &lt;= A82) * (IF('team lookup'!$B$3:$B$97 = "", 9999, 'team lookup'!$B$3:$B$97) &gt;= A82),
    'team lookup'!$E$3:$E$97,
    "Other"
)</f>
        <v>ACC</v>
      </c>
      <c r="E82">
        <f t="shared" si="2"/>
        <v>1</v>
      </c>
      <c r="F82">
        <f t="shared" si="3"/>
        <v>1</v>
      </c>
    </row>
    <row r="83" spans="1:6" x14ac:dyDescent="0.35">
      <c r="A83">
        <v>2010</v>
      </c>
      <c r="B83">
        <v>2250</v>
      </c>
      <c r="C83" t="s">
        <v>21</v>
      </c>
      <c r="D83" t="str" cm="1">
        <f t="array" ref="D83">_xlfn.XLOOKUP(1,
    ('team lookup'!$C$3:$C$97 = B83) * ('team lookup'!$A$3:$A$97 &lt;= A83) * (IF('team lookup'!$B$3:$B$97 = "", 9999, 'team lookup'!$B$3:$B$97) &gt;= A83),
    'team lookup'!$E$3:$E$97,
    "Other"
)</f>
        <v>Other</v>
      </c>
      <c r="E83">
        <f t="shared" si="2"/>
        <v>0</v>
      </c>
      <c r="F83">
        <f t="shared" si="3"/>
        <v>0</v>
      </c>
    </row>
    <row r="84" spans="1:6" x14ac:dyDescent="0.35">
      <c r="A84">
        <v>2010</v>
      </c>
      <c r="B84">
        <v>248</v>
      </c>
      <c r="C84" t="s">
        <v>60</v>
      </c>
      <c r="D84" t="str" cm="1">
        <f t="array" ref="D84">_xlfn.XLOOKUP(1,
    ('team lookup'!$C$3:$C$97 = B84) * ('team lookup'!$A$3:$A$97 &lt;= A84) * (IF('team lookup'!$B$3:$B$97 = "", 9999, 'team lookup'!$B$3:$B$97) &gt;= A84),
    'team lookup'!$E$3:$E$97,
    "Other"
)</f>
        <v>Other</v>
      </c>
      <c r="E84">
        <f t="shared" si="2"/>
        <v>0</v>
      </c>
      <c r="F84">
        <f t="shared" si="3"/>
        <v>0</v>
      </c>
    </row>
    <row r="85" spans="1:6" x14ac:dyDescent="0.35">
      <c r="A85">
        <v>2010</v>
      </c>
      <c r="B85">
        <v>2305</v>
      </c>
      <c r="C85" t="s">
        <v>23</v>
      </c>
      <c r="D85" t="str" cm="1">
        <f t="array" ref="D85">_xlfn.XLOOKUP(1,
    ('team lookup'!$C$3:$C$97 = B85) * ('team lookup'!$A$3:$A$97 &lt;= A85) * (IF('team lookup'!$B$3:$B$97 = "", 9999, 'team lookup'!$B$3:$B$97) &gt;= A85),
    'team lookup'!$E$3:$E$97,
    "Other"
)</f>
        <v>Big12</v>
      </c>
      <c r="E85">
        <f t="shared" si="2"/>
        <v>1</v>
      </c>
      <c r="F85">
        <f t="shared" si="3"/>
        <v>1</v>
      </c>
    </row>
    <row r="86" spans="1:6" x14ac:dyDescent="0.35">
      <c r="A86">
        <v>2010</v>
      </c>
      <c r="B86">
        <v>2306</v>
      </c>
      <c r="C86" t="s">
        <v>24</v>
      </c>
      <c r="D86" t="str" cm="1">
        <f t="array" ref="D86">_xlfn.XLOOKUP(1,
    ('team lookup'!$C$3:$C$97 = B86) * ('team lookup'!$A$3:$A$97 &lt;= A86) * (IF('team lookup'!$B$3:$B$97 = "", 9999, 'team lookup'!$B$3:$B$97) &gt;= A86),
    'team lookup'!$E$3:$E$97,
    "Other"
)</f>
        <v>Big12</v>
      </c>
      <c r="E86">
        <f t="shared" si="2"/>
        <v>1</v>
      </c>
      <c r="F86">
        <f t="shared" si="3"/>
        <v>1</v>
      </c>
    </row>
    <row r="87" spans="1:6" x14ac:dyDescent="0.35">
      <c r="A87">
        <v>2010</v>
      </c>
      <c r="B87">
        <v>96</v>
      </c>
      <c r="C87" t="s">
        <v>26</v>
      </c>
      <c r="D87" t="str" cm="1">
        <f t="array" ref="D87">_xlfn.XLOOKUP(1,
    ('team lookup'!$C$3:$C$97 = B87) * ('team lookup'!$A$3:$A$97 &lt;= A87) * (IF('team lookup'!$B$3:$B$97 = "", 9999, 'team lookup'!$B$3:$B$97) &gt;= A87),
    'team lookup'!$E$3:$E$97,
    "Other"
)</f>
        <v>SEC</v>
      </c>
      <c r="E87">
        <f t="shared" si="2"/>
        <v>1</v>
      </c>
      <c r="F87">
        <f t="shared" si="3"/>
        <v>1</v>
      </c>
    </row>
    <row r="88" spans="1:6" x14ac:dyDescent="0.35">
      <c r="A88">
        <v>2010</v>
      </c>
      <c r="B88">
        <v>2329</v>
      </c>
      <c r="C88" t="s">
        <v>61</v>
      </c>
      <c r="D88" t="str" cm="1">
        <f t="array" ref="D88">_xlfn.XLOOKUP(1,
    ('team lookup'!$C$3:$C$97 = B88) * ('team lookup'!$A$3:$A$97 &lt;= A88) * (IF('team lookup'!$B$3:$B$97 = "", 9999, 'team lookup'!$B$3:$B$97) &gt;= A88),
    'team lookup'!$E$3:$E$97,
    "Other"
)</f>
        <v>Other</v>
      </c>
      <c r="E88">
        <f t="shared" si="2"/>
        <v>0</v>
      </c>
      <c r="F88">
        <f t="shared" si="3"/>
        <v>0</v>
      </c>
    </row>
    <row r="89" spans="1:6" x14ac:dyDescent="0.35">
      <c r="A89">
        <v>2010</v>
      </c>
      <c r="B89">
        <v>97</v>
      </c>
      <c r="C89" t="s">
        <v>27</v>
      </c>
      <c r="D89" t="str" cm="1">
        <f t="array" ref="D89">_xlfn.XLOOKUP(1,
    ('team lookup'!$C$3:$C$97 = B89) * ('team lookup'!$A$3:$A$97 &lt;= A89) * (IF('team lookup'!$B$3:$B$97 = "", 9999, 'team lookup'!$B$3:$B$97) &gt;= A89),
    'team lookup'!$E$3:$E$97,
    "Other"
)</f>
        <v>Big East</v>
      </c>
      <c r="E89">
        <f t="shared" si="2"/>
        <v>0</v>
      </c>
      <c r="F89">
        <f t="shared" si="3"/>
        <v>1</v>
      </c>
    </row>
    <row r="90" spans="1:6" x14ac:dyDescent="0.35">
      <c r="A90">
        <v>2010</v>
      </c>
      <c r="B90">
        <v>269</v>
      </c>
      <c r="C90" t="s">
        <v>28</v>
      </c>
      <c r="D90" t="str" cm="1">
        <f t="array" ref="D90">_xlfn.XLOOKUP(1,
    ('team lookup'!$C$3:$C$97 = B90) * ('team lookup'!$A$3:$A$97 &lt;= A90) * (IF('team lookup'!$B$3:$B$97 = "", 9999, 'team lookup'!$B$3:$B$97) &gt;= A90),
    'team lookup'!$E$3:$E$97,
    "Other"
)</f>
        <v>Big East</v>
      </c>
      <c r="E90">
        <f t="shared" si="2"/>
        <v>0</v>
      </c>
      <c r="F90">
        <f t="shared" si="3"/>
        <v>1</v>
      </c>
    </row>
    <row r="91" spans="1:6" x14ac:dyDescent="0.35">
      <c r="A91">
        <v>2010</v>
      </c>
      <c r="B91">
        <v>120</v>
      </c>
      <c r="C91" t="s">
        <v>51</v>
      </c>
      <c r="D91" t="str" cm="1">
        <f t="array" ref="D91">_xlfn.XLOOKUP(1,
    ('team lookup'!$C$3:$C$97 = B91) * ('team lookup'!$A$3:$A$97 &lt;= A91) * (IF('team lookup'!$B$3:$B$97 = "", 9999, 'team lookup'!$B$3:$B$97) &gt;= A91),
    'team lookup'!$E$3:$E$97,
    "Other"
)</f>
        <v>ACC</v>
      </c>
      <c r="E91">
        <f t="shared" si="2"/>
        <v>1</v>
      </c>
      <c r="F91">
        <f t="shared" si="3"/>
        <v>1</v>
      </c>
    </row>
    <row r="92" spans="1:6" x14ac:dyDescent="0.35">
      <c r="A92">
        <v>2010</v>
      </c>
      <c r="B92">
        <v>127</v>
      </c>
      <c r="C92" t="s">
        <v>31</v>
      </c>
      <c r="D92" t="str" cm="1">
        <f t="array" ref="D92">_xlfn.XLOOKUP(1,
    ('team lookup'!$C$3:$C$97 = B92) * ('team lookup'!$A$3:$A$97 &lt;= A92) * (IF('team lookup'!$B$3:$B$97 = "", 9999, 'team lookup'!$B$3:$B$97) &gt;= A92),
    'team lookup'!$E$3:$E$97,
    "Other"
)</f>
        <v>Big Ten</v>
      </c>
      <c r="E92">
        <f t="shared" si="2"/>
        <v>0</v>
      </c>
      <c r="F92">
        <f t="shared" si="3"/>
        <v>1</v>
      </c>
    </row>
    <row r="93" spans="1:6" x14ac:dyDescent="0.35">
      <c r="A93">
        <v>2010</v>
      </c>
      <c r="B93">
        <v>135</v>
      </c>
      <c r="C93" t="s">
        <v>53</v>
      </c>
      <c r="D93" t="str" cm="1">
        <f t="array" ref="D93">_xlfn.XLOOKUP(1,
    ('team lookup'!$C$3:$C$97 = B93) * ('team lookup'!$A$3:$A$97 &lt;= A93) * (IF('team lookup'!$B$3:$B$97 = "", 9999, 'team lookup'!$B$3:$B$97) &gt;= A93),
    'team lookup'!$E$3:$E$97,
    "Other"
)</f>
        <v>Big Ten</v>
      </c>
      <c r="E93">
        <f t="shared" si="2"/>
        <v>0</v>
      </c>
      <c r="F93">
        <f t="shared" si="3"/>
        <v>1</v>
      </c>
    </row>
    <row r="94" spans="1:6" x14ac:dyDescent="0.35">
      <c r="A94">
        <v>2010</v>
      </c>
      <c r="B94">
        <v>142</v>
      </c>
      <c r="C94" t="s">
        <v>54</v>
      </c>
      <c r="D94" t="str" cm="1">
        <f t="array" ref="D94">_xlfn.XLOOKUP(1,
    ('team lookup'!$C$3:$C$97 = B94) * ('team lookup'!$A$3:$A$97 &lt;= A94) * (IF('team lookup'!$B$3:$B$97 = "", 9999, 'team lookup'!$B$3:$B$97) &gt;= A94),
    'team lookup'!$E$3:$E$97,
    "Other"
)</f>
        <v>Big12</v>
      </c>
      <c r="E94">
        <f t="shared" si="2"/>
        <v>1</v>
      </c>
      <c r="F94">
        <f t="shared" si="3"/>
        <v>1</v>
      </c>
    </row>
    <row r="95" spans="1:6" x14ac:dyDescent="0.35">
      <c r="A95">
        <v>2010</v>
      </c>
      <c r="B95">
        <v>149</v>
      </c>
      <c r="C95" t="s">
        <v>62</v>
      </c>
      <c r="D95" t="str" cm="1">
        <f t="array" ref="D95">_xlfn.XLOOKUP(1,
    ('team lookup'!$C$3:$C$97 = B95) * ('team lookup'!$A$3:$A$97 &lt;= A95) * (IF('team lookup'!$B$3:$B$97 = "", 9999, 'team lookup'!$B$3:$B$97) &gt;= A95),
    'team lookup'!$E$3:$E$97,
    "Other"
)</f>
        <v>Other</v>
      </c>
      <c r="E95">
        <f t="shared" si="2"/>
        <v>0</v>
      </c>
      <c r="F95">
        <f t="shared" si="3"/>
        <v>0</v>
      </c>
    </row>
    <row r="96" spans="1:6" x14ac:dyDescent="0.35">
      <c r="A96">
        <v>2010</v>
      </c>
      <c r="B96">
        <v>2415</v>
      </c>
      <c r="C96" t="s">
        <v>56</v>
      </c>
      <c r="D96" t="str" cm="1">
        <f t="array" ref="D96">_xlfn.XLOOKUP(1,
    ('team lookup'!$C$3:$C$97 = B96) * ('team lookup'!$A$3:$A$97 &lt;= A96) * (IF('team lookup'!$B$3:$B$97 = "", 9999, 'team lookup'!$B$3:$B$97) &gt;= A96),
    'team lookup'!$E$3:$E$97,
    "Other"
)</f>
        <v>Other</v>
      </c>
      <c r="E96">
        <f t="shared" si="2"/>
        <v>0</v>
      </c>
      <c r="F96">
        <f t="shared" si="3"/>
        <v>0</v>
      </c>
    </row>
    <row r="97" spans="1:6" x14ac:dyDescent="0.35">
      <c r="A97">
        <v>2010</v>
      </c>
      <c r="B97">
        <v>93</v>
      </c>
      <c r="C97" t="s">
        <v>63</v>
      </c>
      <c r="D97" t="str" cm="1">
        <f t="array" ref="D97">_xlfn.XLOOKUP(1,
    ('team lookup'!$C$3:$C$97 = B97) * ('team lookup'!$A$3:$A$97 &lt;= A97) * (IF('team lookup'!$B$3:$B$97 = "", 9999, 'team lookup'!$B$3:$B$97) &gt;= A97),
    'team lookup'!$E$3:$E$97,
    "Other"
)</f>
        <v>Other</v>
      </c>
      <c r="E97">
        <f t="shared" si="2"/>
        <v>0</v>
      </c>
      <c r="F97">
        <f t="shared" si="3"/>
        <v>0</v>
      </c>
    </row>
    <row r="98" spans="1:6" x14ac:dyDescent="0.35">
      <c r="A98">
        <v>2010</v>
      </c>
      <c r="B98">
        <v>167</v>
      </c>
      <c r="C98" t="s">
        <v>64</v>
      </c>
      <c r="D98" t="str" cm="1">
        <f t="array" ref="D98">_xlfn.XLOOKUP(1,
    ('team lookup'!$C$3:$C$97 = B98) * ('team lookup'!$A$3:$A$97 &lt;= A98) * (IF('team lookup'!$B$3:$B$97 = "", 9999, 'team lookup'!$B$3:$B$97) &gt;= A98),
    'team lookup'!$E$3:$E$97,
    "Other"
)</f>
        <v>Other</v>
      </c>
      <c r="E98">
        <f t="shared" si="2"/>
        <v>0</v>
      </c>
      <c r="F98">
        <f t="shared" si="3"/>
        <v>0</v>
      </c>
    </row>
    <row r="99" spans="1:6" x14ac:dyDescent="0.35">
      <c r="A99">
        <v>2010</v>
      </c>
      <c r="B99">
        <v>166</v>
      </c>
      <c r="C99" t="s">
        <v>65</v>
      </c>
      <c r="D99" t="str" cm="1">
        <f t="array" ref="D99">_xlfn.XLOOKUP(1,
    ('team lookup'!$C$3:$C$97 = B99) * ('team lookup'!$A$3:$A$97 &lt;= A99) * (IF('team lookup'!$B$3:$B$97 = "", 9999, 'team lookup'!$B$3:$B$97) &gt;= A99),
    'team lookup'!$E$3:$E$97,
    "Other"
)</f>
        <v>Other</v>
      </c>
      <c r="E99">
        <f t="shared" si="2"/>
        <v>0</v>
      </c>
      <c r="F99">
        <f t="shared" si="3"/>
        <v>0</v>
      </c>
    </row>
    <row r="100" spans="1:6" x14ac:dyDescent="0.35">
      <c r="A100">
        <v>2010</v>
      </c>
      <c r="B100">
        <v>249</v>
      </c>
      <c r="C100" t="s">
        <v>66</v>
      </c>
      <c r="D100" t="str" cm="1">
        <f t="array" ref="D100">_xlfn.XLOOKUP(1,
    ('team lookup'!$C$3:$C$97 = B100) * ('team lookup'!$A$3:$A$97 &lt;= A100) * (IF('team lookup'!$B$3:$B$97 = "", 9999, 'team lookup'!$B$3:$B$97) &gt;= A100),
    'team lookup'!$E$3:$E$97,
    "Other"
)</f>
        <v>Other</v>
      </c>
      <c r="E100">
        <f t="shared" si="2"/>
        <v>0</v>
      </c>
      <c r="F100">
        <f t="shared" si="3"/>
        <v>0</v>
      </c>
    </row>
    <row r="101" spans="1:6" x14ac:dyDescent="0.35">
      <c r="A101">
        <v>2010</v>
      </c>
      <c r="B101">
        <v>2460</v>
      </c>
      <c r="C101" t="s">
        <v>67</v>
      </c>
      <c r="D101" t="str" cm="1">
        <f t="array" ref="D101">_xlfn.XLOOKUP(1,
    ('team lookup'!$C$3:$C$97 = B101) * ('team lookup'!$A$3:$A$97 &lt;= A101) * (IF('team lookup'!$B$3:$B$97 = "", 9999, 'team lookup'!$B$3:$B$97) &gt;= A101),
    'team lookup'!$E$3:$E$97,
    "Other"
)</f>
        <v>Other</v>
      </c>
      <c r="E101">
        <f t="shared" si="2"/>
        <v>0</v>
      </c>
      <c r="F101">
        <f t="shared" si="3"/>
        <v>0</v>
      </c>
    </row>
    <row r="102" spans="1:6" x14ac:dyDescent="0.35">
      <c r="A102">
        <v>2010</v>
      </c>
      <c r="B102">
        <v>87</v>
      </c>
      <c r="C102" t="s">
        <v>36</v>
      </c>
      <c r="D102" t="str" cm="1">
        <f t="array" ref="D102">_xlfn.XLOOKUP(1,
    ('team lookup'!$C$3:$C$97 = B102) * ('team lookup'!$A$3:$A$97 &lt;= A102) * (IF('team lookup'!$B$3:$B$97 = "", 9999, 'team lookup'!$B$3:$B$97) &gt;= A102),
    'team lookup'!$E$3:$E$97,
    "Other"
)</f>
        <v>Big East</v>
      </c>
      <c r="E102">
        <f t="shared" si="2"/>
        <v>0</v>
      </c>
      <c r="F102">
        <f t="shared" si="3"/>
        <v>1</v>
      </c>
    </row>
    <row r="103" spans="1:6" x14ac:dyDescent="0.35">
      <c r="A103">
        <v>2011</v>
      </c>
      <c r="B103">
        <v>2006</v>
      </c>
      <c r="C103" t="s">
        <v>37</v>
      </c>
      <c r="D103" t="str" cm="1">
        <f t="array" ref="D103">_xlfn.XLOOKUP(1,
    ('team lookup'!$C$3:$C$97 = B103) * ('team lookup'!$A$3:$A$97 &lt;= A103) * (IF('team lookup'!$B$3:$B$97 = "", 9999, 'team lookup'!$B$3:$B$97) &gt;= A103),
    'team lookup'!$E$3:$E$97,
    "Other"
)</f>
        <v>Other</v>
      </c>
      <c r="E103">
        <f t="shared" si="2"/>
        <v>0</v>
      </c>
      <c r="F103">
        <f t="shared" si="3"/>
        <v>0</v>
      </c>
    </row>
    <row r="104" spans="1:6" x14ac:dyDescent="0.35">
      <c r="A104">
        <v>2011</v>
      </c>
      <c r="B104">
        <v>2011</v>
      </c>
      <c r="C104" t="s">
        <v>38</v>
      </c>
      <c r="D104" t="str" cm="1">
        <f t="array" ref="D104">_xlfn.XLOOKUP(1,
    ('team lookup'!$C$3:$C$97 = B104) * ('team lookup'!$A$3:$A$97 &lt;= A104) * (IF('team lookup'!$B$3:$B$97 = "", 9999, 'team lookup'!$B$3:$B$97) &gt;= A104),
    'team lookup'!$E$3:$E$97,
    "Other"
)</f>
        <v>Other</v>
      </c>
      <c r="E104">
        <f t="shared" si="2"/>
        <v>0</v>
      </c>
      <c r="F104">
        <f t="shared" si="3"/>
        <v>0</v>
      </c>
    </row>
    <row r="105" spans="1:6" x14ac:dyDescent="0.35">
      <c r="A105">
        <v>2011</v>
      </c>
      <c r="B105">
        <v>12</v>
      </c>
      <c r="C105" t="s">
        <v>4</v>
      </c>
      <c r="D105" t="str" cm="1">
        <f t="array" ref="D105">_xlfn.XLOOKUP(1,
    ('team lookup'!$C$3:$C$97 = B105) * ('team lookup'!$A$3:$A$97 &lt;= A105) * (IF('team lookup'!$B$3:$B$97 = "", 9999, 'team lookup'!$B$3:$B$97) &gt;= A105),
    'team lookup'!$E$3:$E$97,
    "Other"
)</f>
        <v>Other</v>
      </c>
      <c r="E105">
        <f t="shared" si="2"/>
        <v>0</v>
      </c>
      <c r="F105">
        <f t="shared" si="3"/>
        <v>0</v>
      </c>
    </row>
    <row r="106" spans="1:6" x14ac:dyDescent="0.35">
      <c r="A106">
        <v>2011</v>
      </c>
      <c r="B106">
        <v>2057</v>
      </c>
      <c r="C106" t="s">
        <v>8</v>
      </c>
      <c r="D106" t="str" cm="1">
        <f t="array" ref="D106">_xlfn.XLOOKUP(1,
    ('team lookup'!$C$3:$C$97 = B106) * ('team lookup'!$A$3:$A$97 &lt;= A106) * (IF('team lookup'!$B$3:$B$97 = "", 9999, 'team lookup'!$B$3:$B$97) &gt;= A106),
    'team lookup'!$E$3:$E$97,
    "Other"
)</f>
        <v>Other</v>
      </c>
      <c r="E106">
        <f t="shared" si="2"/>
        <v>0</v>
      </c>
      <c r="F106">
        <f t="shared" si="3"/>
        <v>0</v>
      </c>
    </row>
    <row r="107" spans="1:6" x14ac:dyDescent="0.35">
      <c r="A107">
        <v>2011</v>
      </c>
      <c r="B107">
        <v>104</v>
      </c>
      <c r="C107" t="s">
        <v>68</v>
      </c>
      <c r="D107" t="str" cm="1">
        <f t="array" ref="D107">_xlfn.XLOOKUP(1,
    ('team lookup'!$C$3:$C$97 = B107) * ('team lookup'!$A$3:$A$97 &lt;= A107) * (IF('team lookup'!$B$3:$B$97 = "", 9999, 'team lookup'!$B$3:$B$97) &gt;= A107),
    'team lookup'!$E$3:$E$97,
    "Other"
)</f>
        <v>Other</v>
      </c>
      <c r="E107">
        <f t="shared" si="2"/>
        <v>0</v>
      </c>
      <c r="F107">
        <f t="shared" si="3"/>
        <v>0</v>
      </c>
    </row>
    <row r="108" spans="1:6" x14ac:dyDescent="0.35">
      <c r="A108">
        <v>2011</v>
      </c>
      <c r="B108">
        <v>2083</v>
      </c>
      <c r="C108" t="s">
        <v>69</v>
      </c>
      <c r="D108" t="str" cm="1">
        <f t="array" ref="D108">_xlfn.XLOOKUP(1,
    ('team lookup'!$C$3:$C$97 = B108) * ('team lookup'!$A$3:$A$97 &lt;= A108) * (IF('team lookup'!$B$3:$B$97 = "", 9999, 'team lookup'!$B$3:$B$97) &gt;= A108),
    'team lookup'!$E$3:$E$97,
    "Other"
)</f>
        <v>Other</v>
      </c>
      <c r="E108">
        <f t="shared" si="2"/>
        <v>0</v>
      </c>
      <c r="F108">
        <f t="shared" si="3"/>
        <v>0</v>
      </c>
    </row>
    <row r="109" spans="1:6" x14ac:dyDescent="0.35">
      <c r="A109">
        <v>2011</v>
      </c>
      <c r="B109">
        <v>2086</v>
      </c>
      <c r="C109" t="s">
        <v>10</v>
      </c>
      <c r="D109" t="str" cm="1">
        <f t="array" ref="D109">_xlfn.XLOOKUP(1,
    ('team lookup'!$C$3:$C$97 = B109) * ('team lookup'!$A$3:$A$97 &lt;= A109) * (IF('team lookup'!$B$3:$B$97 = "", 9999, 'team lookup'!$B$3:$B$97) &gt;= A109),
    'team lookup'!$E$3:$E$97,
    "Other"
)</f>
        <v>Other</v>
      </c>
      <c r="E109">
        <f t="shared" si="2"/>
        <v>0</v>
      </c>
      <c r="F109">
        <f t="shared" si="3"/>
        <v>0</v>
      </c>
    </row>
    <row r="110" spans="1:6" x14ac:dyDescent="0.35">
      <c r="A110">
        <v>2011</v>
      </c>
      <c r="B110">
        <v>252</v>
      </c>
      <c r="C110" t="s">
        <v>11</v>
      </c>
      <c r="D110" t="str" cm="1">
        <f t="array" ref="D110">_xlfn.XLOOKUP(1,
    ('team lookup'!$C$3:$C$97 = B110) * ('team lookup'!$A$3:$A$97 &lt;= A110) * (IF('team lookup'!$B$3:$B$97 = "", 9999, 'team lookup'!$B$3:$B$97) &gt;= A110),
    'team lookup'!$E$3:$E$97,
    "Other"
)</f>
        <v>Other</v>
      </c>
      <c r="E110">
        <f t="shared" si="2"/>
        <v>0</v>
      </c>
      <c r="F110">
        <f t="shared" si="3"/>
        <v>0</v>
      </c>
    </row>
    <row r="111" spans="1:6" x14ac:dyDescent="0.35">
      <c r="A111">
        <v>2011</v>
      </c>
      <c r="B111">
        <v>2132</v>
      </c>
      <c r="C111" t="s">
        <v>70</v>
      </c>
      <c r="D111" t="str" cm="1">
        <f t="array" ref="D111">_xlfn.XLOOKUP(1,
    ('team lookup'!$C$3:$C$97 = B111) * ('team lookup'!$A$3:$A$97 &lt;= A111) * (IF('team lookup'!$B$3:$B$97 = "", 9999, 'team lookup'!$B$3:$B$97) &gt;= A111),
    'team lookup'!$E$3:$E$97,
    "Other"
)</f>
        <v>Big East</v>
      </c>
      <c r="E111">
        <f t="shared" si="2"/>
        <v>0</v>
      </c>
      <c r="F111">
        <f t="shared" si="3"/>
        <v>1</v>
      </c>
    </row>
    <row r="112" spans="1:6" x14ac:dyDescent="0.35">
      <c r="A112">
        <v>2011</v>
      </c>
      <c r="B112">
        <v>228</v>
      </c>
      <c r="C112" t="s">
        <v>12</v>
      </c>
      <c r="D112" t="str" cm="1">
        <f t="array" ref="D112">_xlfn.XLOOKUP(1,
    ('team lookup'!$C$3:$C$97 = B112) * ('team lookup'!$A$3:$A$97 &lt;= A112) * (IF('team lookup'!$B$3:$B$97 = "", 9999, 'team lookup'!$B$3:$B$97) &gt;= A112),
    'team lookup'!$E$3:$E$97,
    "Other"
)</f>
        <v>ACC</v>
      </c>
      <c r="E112">
        <f t="shared" si="2"/>
        <v>1</v>
      </c>
      <c r="F112">
        <f t="shared" si="3"/>
        <v>1</v>
      </c>
    </row>
    <row r="113" spans="1:6" x14ac:dyDescent="0.35">
      <c r="A113">
        <v>2011</v>
      </c>
      <c r="B113">
        <v>150</v>
      </c>
      <c r="C113" t="s">
        <v>16</v>
      </c>
      <c r="D113" t="str" cm="1">
        <f t="array" ref="D113">_xlfn.XLOOKUP(1,
    ('team lookup'!$C$3:$C$97 = B113) * ('team lookup'!$A$3:$A$97 &lt;= A113) * (IF('team lookup'!$B$3:$B$97 = "", 9999, 'team lookup'!$B$3:$B$97) &gt;= A113),
    'team lookup'!$E$3:$E$97,
    "Other"
)</f>
        <v>ACC</v>
      </c>
      <c r="E113">
        <f t="shared" si="2"/>
        <v>1</v>
      </c>
      <c r="F113">
        <f t="shared" si="3"/>
        <v>1</v>
      </c>
    </row>
    <row r="114" spans="1:6" x14ac:dyDescent="0.35">
      <c r="A114">
        <v>2011</v>
      </c>
      <c r="B114">
        <v>57</v>
      </c>
      <c r="C114" t="s">
        <v>58</v>
      </c>
      <c r="D114" t="str" cm="1">
        <f t="array" ref="D114">_xlfn.XLOOKUP(1,
    ('team lookup'!$C$3:$C$97 = B114) * ('team lookup'!$A$3:$A$97 &lt;= A114) * (IF('team lookup'!$B$3:$B$97 = "", 9999, 'team lookup'!$B$3:$B$97) &gt;= A114),
    'team lookup'!$E$3:$E$97,
    "Other"
)</f>
        <v>SEC</v>
      </c>
      <c r="E114">
        <f t="shared" si="2"/>
        <v>1</v>
      </c>
      <c r="F114">
        <f t="shared" si="3"/>
        <v>1</v>
      </c>
    </row>
    <row r="115" spans="1:6" x14ac:dyDescent="0.35">
      <c r="A115">
        <v>2011</v>
      </c>
      <c r="B115">
        <v>52</v>
      </c>
      <c r="C115" t="s">
        <v>48</v>
      </c>
      <c r="D115" t="str" cm="1">
        <f t="array" ref="D115">_xlfn.XLOOKUP(1,
    ('team lookup'!$C$3:$C$97 = B115) * ('team lookup'!$A$3:$A$97 &lt;= A115) * (IF('team lookup'!$B$3:$B$97 = "", 9999, 'team lookup'!$B$3:$B$97) &gt;= A115),
    'team lookup'!$E$3:$E$97,
    "Other"
)</f>
        <v>ACC</v>
      </c>
      <c r="E115">
        <f t="shared" si="2"/>
        <v>1</v>
      </c>
      <c r="F115">
        <f t="shared" si="3"/>
        <v>1</v>
      </c>
    </row>
    <row r="116" spans="1:6" x14ac:dyDescent="0.35">
      <c r="A116">
        <v>2011</v>
      </c>
      <c r="B116">
        <v>2244</v>
      </c>
      <c r="C116" t="s">
        <v>18</v>
      </c>
      <c r="D116" t="str" cm="1">
        <f t="array" ref="D116">_xlfn.XLOOKUP(1,
    ('team lookup'!$C$3:$C$97 = B116) * ('team lookup'!$A$3:$A$97 &lt;= A116) * (IF('team lookup'!$B$3:$B$97 = "", 9999, 'team lookup'!$B$3:$B$97) &gt;= A116),
    'team lookup'!$E$3:$E$97,
    "Other"
)</f>
        <v>Other</v>
      </c>
      <c r="E116">
        <f t="shared" si="2"/>
        <v>0</v>
      </c>
      <c r="F116">
        <f t="shared" si="3"/>
        <v>0</v>
      </c>
    </row>
    <row r="117" spans="1:6" x14ac:dyDescent="0.35">
      <c r="A117">
        <v>2011</v>
      </c>
      <c r="B117">
        <v>46</v>
      </c>
      <c r="C117" t="s">
        <v>19</v>
      </c>
      <c r="D117" t="str" cm="1">
        <f t="array" ref="D117">_xlfn.XLOOKUP(1,
    ('team lookup'!$C$3:$C$97 = B117) * ('team lookup'!$A$3:$A$97 &lt;= A117) * (IF('team lookup'!$B$3:$B$97 = "", 9999, 'team lookup'!$B$3:$B$97) &gt;= A117),
    'team lookup'!$E$3:$E$97,
    "Other"
)</f>
        <v>Big East</v>
      </c>
      <c r="E117">
        <f t="shared" si="2"/>
        <v>0</v>
      </c>
      <c r="F117">
        <f t="shared" si="3"/>
        <v>1</v>
      </c>
    </row>
    <row r="118" spans="1:6" x14ac:dyDescent="0.35">
      <c r="A118">
        <v>2011</v>
      </c>
      <c r="B118">
        <v>61</v>
      </c>
      <c r="C118" t="s">
        <v>20</v>
      </c>
      <c r="D118" t="str" cm="1">
        <f t="array" ref="D118">_xlfn.XLOOKUP(1,
    ('team lookup'!$C$3:$C$97 = B118) * ('team lookup'!$A$3:$A$97 &lt;= A118) * (IF('team lookup'!$B$3:$B$97 = "", 9999, 'team lookup'!$B$3:$B$97) &gt;= A118),
    'team lookup'!$E$3:$E$97,
    "Other"
)</f>
        <v>SEC</v>
      </c>
      <c r="E118">
        <f t="shared" si="2"/>
        <v>1</v>
      </c>
      <c r="F118">
        <f t="shared" si="3"/>
        <v>1</v>
      </c>
    </row>
    <row r="119" spans="1:6" x14ac:dyDescent="0.35">
      <c r="A119">
        <v>2011</v>
      </c>
      <c r="B119">
        <v>2250</v>
      </c>
      <c r="C119" t="s">
        <v>21</v>
      </c>
      <c r="D119" t="str" cm="1">
        <f t="array" ref="D119">_xlfn.XLOOKUP(1,
    ('team lookup'!$C$3:$C$97 = B119) * ('team lookup'!$A$3:$A$97 &lt;= A119) * (IF('team lookup'!$B$3:$B$97 = "", 9999, 'team lookup'!$B$3:$B$97) &gt;= A119),
    'team lookup'!$E$3:$E$97,
    "Other"
)</f>
        <v>Other</v>
      </c>
      <c r="E119">
        <f t="shared" si="2"/>
        <v>0</v>
      </c>
      <c r="F119">
        <f t="shared" si="3"/>
        <v>0</v>
      </c>
    </row>
    <row r="120" spans="1:6" x14ac:dyDescent="0.35">
      <c r="A120">
        <v>2011</v>
      </c>
      <c r="B120">
        <v>2261</v>
      </c>
      <c r="C120" t="s">
        <v>71</v>
      </c>
      <c r="D120" t="str" cm="1">
        <f t="array" ref="D120">_xlfn.XLOOKUP(1,
    ('team lookup'!$C$3:$C$97 = B120) * ('team lookup'!$A$3:$A$97 &lt;= A120) * (IF('team lookup'!$B$3:$B$97 = "", 9999, 'team lookup'!$B$3:$B$97) &gt;= A120),
    'team lookup'!$E$3:$E$97,
    "Other"
)</f>
        <v>Other</v>
      </c>
      <c r="E120">
        <f t="shared" si="2"/>
        <v>0</v>
      </c>
      <c r="F120">
        <f t="shared" si="3"/>
        <v>0</v>
      </c>
    </row>
    <row r="121" spans="1:6" x14ac:dyDescent="0.35">
      <c r="A121">
        <v>2011</v>
      </c>
      <c r="B121">
        <v>356</v>
      </c>
      <c r="C121" t="s">
        <v>49</v>
      </c>
      <c r="D121" t="str" cm="1">
        <f t="array" ref="D121">_xlfn.XLOOKUP(1,
    ('team lookup'!$C$3:$C$97 = B121) * ('team lookup'!$A$3:$A$97 &lt;= A121) * (IF('team lookup'!$B$3:$B$97 = "", 9999, 'team lookup'!$B$3:$B$97) &gt;= A121),
    'team lookup'!$E$3:$E$97,
    "Other"
)</f>
        <v>Big Ten</v>
      </c>
      <c r="E121">
        <f t="shared" si="2"/>
        <v>0</v>
      </c>
      <c r="F121">
        <f t="shared" si="3"/>
        <v>1</v>
      </c>
    </row>
    <row r="122" spans="1:6" x14ac:dyDescent="0.35">
      <c r="A122">
        <v>2011</v>
      </c>
      <c r="B122">
        <v>282</v>
      </c>
      <c r="C122" t="s">
        <v>72</v>
      </c>
      <c r="D122" t="str" cm="1">
        <f t="array" ref="D122">_xlfn.XLOOKUP(1,
    ('team lookup'!$C$3:$C$97 = B122) * ('team lookup'!$A$3:$A$97 &lt;= A122) * (IF('team lookup'!$B$3:$B$97 = "", 9999, 'team lookup'!$B$3:$B$97) &gt;= A122),
    'team lookup'!$E$3:$E$97,
    "Other"
)</f>
        <v>Other</v>
      </c>
      <c r="E122">
        <f t="shared" si="2"/>
        <v>0</v>
      </c>
      <c r="F122">
        <f t="shared" si="3"/>
        <v>0</v>
      </c>
    </row>
    <row r="123" spans="1:6" x14ac:dyDescent="0.35">
      <c r="A123">
        <v>2011</v>
      </c>
      <c r="B123">
        <v>2305</v>
      </c>
      <c r="C123" t="s">
        <v>23</v>
      </c>
      <c r="D123" t="str" cm="1">
        <f t="array" ref="D123">_xlfn.XLOOKUP(1,
    ('team lookup'!$C$3:$C$97 = B123) * ('team lookup'!$A$3:$A$97 &lt;= A123) * (IF('team lookup'!$B$3:$B$97 = "", 9999, 'team lookup'!$B$3:$B$97) &gt;= A123),
    'team lookup'!$E$3:$E$97,
    "Other"
)</f>
        <v>Big12</v>
      </c>
      <c r="E123">
        <f t="shared" si="2"/>
        <v>1</v>
      </c>
      <c r="F123">
        <f t="shared" si="3"/>
        <v>1</v>
      </c>
    </row>
    <row r="124" spans="1:6" x14ac:dyDescent="0.35">
      <c r="A124">
        <v>2011</v>
      </c>
      <c r="B124">
        <v>2306</v>
      </c>
      <c r="C124" t="s">
        <v>24</v>
      </c>
      <c r="D124" t="str" cm="1">
        <f t="array" ref="D124">_xlfn.XLOOKUP(1,
    ('team lookup'!$C$3:$C$97 = B124) * ('team lookup'!$A$3:$A$97 &lt;= A124) * (IF('team lookup'!$B$3:$B$97 = "", 9999, 'team lookup'!$B$3:$B$97) &gt;= A124),
    'team lookup'!$E$3:$E$97,
    "Other"
)</f>
        <v>Big12</v>
      </c>
      <c r="E124">
        <f t="shared" si="2"/>
        <v>1</v>
      </c>
      <c r="F124">
        <f t="shared" si="3"/>
        <v>1</v>
      </c>
    </row>
    <row r="125" spans="1:6" x14ac:dyDescent="0.35">
      <c r="A125">
        <v>2011</v>
      </c>
      <c r="B125">
        <v>96</v>
      </c>
      <c r="C125" t="s">
        <v>26</v>
      </c>
      <c r="D125" t="str" cm="1">
        <f t="array" ref="D125">_xlfn.XLOOKUP(1,
    ('team lookup'!$C$3:$C$97 = B125) * ('team lookup'!$A$3:$A$97 &lt;= A125) * (IF('team lookup'!$B$3:$B$97 = "", 9999, 'team lookup'!$B$3:$B$97) &gt;= A125),
    'team lookup'!$E$3:$E$97,
    "Other"
)</f>
        <v>SEC</v>
      </c>
      <c r="E125">
        <f t="shared" si="2"/>
        <v>1</v>
      </c>
      <c r="F125">
        <f t="shared" si="3"/>
        <v>1</v>
      </c>
    </row>
    <row r="126" spans="1:6" x14ac:dyDescent="0.35">
      <c r="A126">
        <v>2011</v>
      </c>
      <c r="B126">
        <v>2031</v>
      </c>
      <c r="C126" t="s">
        <v>73</v>
      </c>
      <c r="D126" t="str" cm="1">
        <f t="array" ref="D126">_xlfn.XLOOKUP(1,
    ('team lookup'!$C$3:$C$97 = B126) * ('team lookup'!$A$3:$A$97 &lt;= A126) * (IF('team lookup'!$B$3:$B$97 = "", 9999, 'team lookup'!$B$3:$B$97) &gt;= A126),
    'team lookup'!$E$3:$E$97,
    "Other"
)</f>
        <v>Other</v>
      </c>
      <c r="E126">
        <f t="shared" si="2"/>
        <v>0</v>
      </c>
      <c r="F126">
        <f t="shared" si="3"/>
        <v>0</v>
      </c>
    </row>
    <row r="127" spans="1:6" x14ac:dyDescent="0.35">
      <c r="A127">
        <v>2011</v>
      </c>
      <c r="B127">
        <v>112358</v>
      </c>
      <c r="C127" t="s">
        <v>74</v>
      </c>
      <c r="D127" t="str" cm="1">
        <f t="array" ref="D127">_xlfn.XLOOKUP(1,
    ('team lookup'!$C$3:$C$97 = B127) * ('team lookup'!$A$3:$A$97 &lt;= A127) * (IF('team lookup'!$B$3:$B$97 = "", 9999, 'team lookup'!$B$3:$B$97) &gt;= A127),
    'team lookup'!$E$3:$E$97,
    "Other"
)</f>
        <v>Other</v>
      </c>
      <c r="E127">
        <f t="shared" si="2"/>
        <v>0</v>
      </c>
      <c r="F127">
        <f t="shared" si="3"/>
        <v>0</v>
      </c>
    </row>
    <row r="128" spans="1:6" x14ac:dyDescent="0.35">
      <c r="A128">
        <v>2011</v>
      </c>
      <c r="B128">
        <v>97</v>
      </c>
      <c r="C128" t="s">
        <v>27</v>
      </c>
      <c r="D128" t="str" cm="1">
        <f t="array" ref="D128">_xlfn.XLOOKUP(1,
    ('team lookup'!$C$3:$C$97 = B128) * ('team lookup'!$A$3:$A$97 &lt;= A128) * (IF('team lookup'!$B$3:$B$97 = "", 9999, 'team lookup'!$B$3:$B$97) &gt;= A128),
    'team lookup'!$E$3:$E$97,
    "Other"
)</f>
        <v>Big East</v>
      </c>
      <c r="E128">
        <f t="shared" si="2"/>
        <v>0</v>
      </c>
      <c r="F128">
        <f t="shared" si="3"/>
        <v>1</v>
      </c>
    </row>
    <row r="129" spans="1:6" x14ac:dyDescent="0.35">
      <c r="A129">
        <v>2011</v>
      </c>
      <c r="B129">
        <v>269</v>
      </c>
      <c r="C129" t="s">
        <v>28</v>
      </c>
      <c r="D129" t="str" cm="1">
        <f t="array" ref="D129">_xlfn.XLOOKUP(1,
    ('team lookup'!$C$3:$C$97 = B129) * ('team lookup'!$A$3:$A$97 &lt;= A129) * (IF('team lookup'!$B$3:$B$97 = "", 9999, 'team lookup'!$B$3:$B$97) &gt;= A129),
    'team lookup'!$E$3:$E$97,
    "Other"
)</f>
        <v>Big East</v>
      </c>
      <c r="E129">
        <f t="shared" si="2"/>
        <v>0</v>
      </c>
      <c r="F129">
        <f t="shared" si="3"/>
        <v>1</v>
      </c>
    </row>
    <row r="130" spans="1:6" x14ac:dyDescent="0.35">
      <c r="A130">
        <v>2011</v>
      </c>
      <c r="B130">
        <v>235</v>
      </c>
      <c r="C130" t="s">
        <v>29</v>
      </c>
      <c r="D130" t="str" cm="1">
        <f t="array" ref="D130">_xlfn.XLOOKUP(1,
    ('team lookup'!$C$3:$C$97 = B130) * ('team lookup'!$A$3:$A$97 &lt;= A130) * (IF('team lookup'!$B$3:$B$97 = "", 9999, 'team lookup'!$B$3:$B$97) &gt;= A130),
    'team lookup'!$E$3:$E$97,
    "Other"
)</f>
        <v>Other</v>
      </c>
      <c r="E130">
        <f t="shared" si="2"/>
        <v>0</v>
      </c>
      <c r="F130">
        <f t="shared" si="3"/>
        <v>0</v>
      </c>
    </row>
    <row r="131" spans="1:6" x14ac:dyDescent="0.35">
      <c r="A131">
        <v>2011</v>
      </c>
      <c r="B131">
        <v>130</v>
      </c>
      <c r="C131" t="s">
        <v>52</v>
      </c>
      <c r="D131" t="str" cm="1">
        <f t="array" ref="D131">_xlfn.XLOOKUP(1,
    ('team lookup'!$C$3:$C$97 = B131) * ('team lookup'!$A$3:$A$97 &lt;= A131) * (IF('team lookup'!$B$3:$B$97 = "", 9999, 'team lookup'!$B$3:$B$97) &gt;= A131),
    'team lookup'!$E$3:$E$97,
    "Other"
)</f>
        <v>Big Ten</v>
      </c>
      <c r="E131">
        <f t="shared" ref="E131:E194" si="4">IF(OR(D131="ACC", D131="SEC", D131="Big12"), 1,0)</f>
        <v>0</v>
      </c>
      <c r="F131">
        <f t="shared" ref="F131:F194" si="5">IF(D131&lt;&gt;"Other", 1,0)</f>
        <v>1</v>
      </c>
    </row>
    <row r="132" spans="1:6" x14ac:dyDescent="0.35">
      <c r="A132">
        <v>2011</v>
      </c>
      <c r="B132">
        <v>127</v>
      </c>
      <c r="C132" t="s">
        <v>31</v>
      </c>
      <c r="D132" t="str" cm="1">
        <f t="array" ref="D132">_xlfn.XLOOKUP(1,
    ('team lookup'!$C$3:$C$97 = B132) * ('team lookup'!$A$3:$A$97 &lt;= A132) * (IF('team lookup'!$B$3:$B$97 = "", 9999, 'team lookup'!$B$3:$B$97) &gt;= A132),
    'team lookup'!$E$3:$E$97,
    "Other"
)</f>
        <v>Big Ten</v>
      </c>
      <c r="E132">
        <f t="shared" si="4"/>
        <v>0</v>
      </c>
      <c r="F132">
        <f t="shared" si="5"/>
        <v>1</v>
      </c>
    </row>
    <row r="133" spans="1:6" x14ac:dyDescent="0.35">
      <c r="A133">
        <v>2011</v>
      </c>
      <c r="B133">
        <v>142</v>
      </c>
      <c r="C133" t="s">
        <v>54</v>
      </c>
      <c r="D133" t="str" cm="1">
        <f t="array" ref="D133">_xlfn.XLOOKUP(1,
    ('team lookup'!$C$3:$C$97 = B133) * ('team lookup'!$A$3:$A$97 &lt;= A133) * (IF('team lookup'!$B$3:$B$97 = "", 9999, 'team lookup'!$B$3:$B$97) &gt;= A133),
    'team lookup'!$E$3:$E$97,
    "Other"
)</f>
        <v>Big12</v>
      </c>
      <c r="E133">
        <f t="shared" si="4"/>
        <v>1</v>
      </c>
      <c r="F133">
        <f t="shared" si="5"/>
        <v>1</v>
      </c>
    </row>
    <row r="134" spans="1:6" x14ac:dyDescent="0.35">
      <c r="A134">
        <v>2011</v>
      </c>
      <c r="B134">
        <v>2413</v>
      </c>
      <c r="C134" t="s">
        <v>55</v>
      </c>
      <c r="D134" t="str" cm="1">
        <f t="array" ref="D134">_xlfn.XLOOKUP(1,
    ('team lookup'!$C$3:$C$97 = B134) * ('team lookup'!$A$3:$A$97 &lt;= A134) * (IF('team lookup'!$B$3:$B$97 = "", 9999, 'team lookup'!$B$3:$B$97) &gt;= A134),
    'team lookup'!$E$3:$E$97,
    "Other"
)</f>
        <v>Other</v>
      </c>
      <c r="E134">
        <f t="shared" si="4"/>
        <v>0</v>
      </c>
      <c r="F134">
        <f t="shared" si="5"/>
        <v>0</v>
      </c>
    </row>
    <row r="135" spans="1:6" x14ac:dyDescent="0.35">
      <c r="A135">
        <v>2011</v>
      </c>
      <c r="B135">
        <v>2458</v>
      </c>
      <c r="C135" t="s">
        <v>75</v>
      </c>
      <c r="D135" t="str" cm="1">
        <f t="array" ref="D135">_xlfn.XLOOKUP(1,
    ('team lookup'!$C$3:$C$97 = B135) * ('team lookup'!$A$3:$A$97 &lt;= A135) * (IF('team lookup'!$B$3:$B$97 = "", 9999, 'team lookup'!$B$3:$B$97) &gt;= A135),
    'team lookup'!$E$3:$E$97,
    "Other"
)</f>
        <v>Other</v>
      </c>
      <c r="E135">
        <f t="shared" si="4"/>
        <v>0</v>
      </c>
      <c r="F135">
        <f t="shared" si="5"/>
        <v>0</v>
      </c>
    </row>
    <row r="136" spans="1:6" x14ac:dyDescent="0.35">
      <c r="A136">
        <v>2011</v>
      </c>
      <c r="B136">
        <v>153</v>
      </c>
      <c r="C136" t="s">
        <v>35</v>
      </c>
      <c r="D136" t="str" cm="1">
        <f t="array" ref="D136">_xlfn.XLOOKUP(1,
    ('team lookup'!$C$3:$C$97 = B136) * ('team lookup'!$A$3:$A$97 &lt;= A136) * (IF('team lookup'!$B$3:$B$97 = "", 9999, 'team lookup'!$B$3:$B$97) &gt;= A136),
    'team lookup'!$E$3:$E$97,
    "Other"
)</f>
        <v>ACC</v>
      </c>
      <c r="E136">
        <f t="shared" si="4"/>
        <v>1</v>
      </c>
      <c r="F136">
        <f t="shared" si="5"/>
        <v>1</v>
      </c>
    </row>
    <row r="137" spans="1:6" x14ac:dyDescent="0.35">
      <c r="A137">
        <v>2011</v>
      </c>
      <c r="B137">
        <v>87</v>
      </c>
      <c r="C137" t="s">
        <v>36</v>
      </c>
      <c r="D137" t="str" cm="1">
        <f t="array" ref="D137">_xlfn.XLOOKUP(1,
    ('team lookup'!$C$3:$C$97 = B137) * ('team lookup'!$A$3:$A$97 &lt;= A137) * (IF('team lookup'!$B$3:$B$97 = "", 9999, 'team lookup'!$B$3:$B$97) &gt;= A137),
    'team lookup'!$E$3:$E$97,
    "Other"
)</f>
        <v>Big East</v>
      </c>
      <c r="E137">
        <f t="shared" si="4"/>
        <v>0</v>
      </c>
      <c r="F137">
        <f t="shared" si="5"/>
        <v>1</v>
      </c>
    </row>
    <row r="138" spans="1:6" x14ac:dyDescent="0.35">
      <c r="A138">
        <v>2011</v>
      </c>
      <c r="B138">
        <v>2473</v>
      </c>
      <c r="C138" t="s">
        <v>76</v>
      </c>
      <c r="D138" t="str" cm="1">
        <f t="array" ref="D138">_xlfn.XLOOKUP(1,
    ('team lookup'!$C$3:$C$97 = B138) * ('team lookup'!$A$3:$A$97 &lt;= A138) * (IF('team lookup'!$B$3:$B$97 = "", 9999, 'team lookup'!$B$3:$B$97) &gt;= A138),
    'team lookup'!$E$3:$E$97,
    "Other"
)</f>
        <v>Other</v>
      </c>
      <c r="E138">
        <f t="shared" si="4"/>
        <v>0</v>
      </c>
      <c r="F138">
        <f t="shared" si="5"/>
        <v>0</v>
      </c>
    </row>
    <row r="139" spans="1:6" x14ac:dyDescent="0.35">
      <c r="A139">
        <v>2011</v>
      </c>
      <c r="B139">
        <v>194</v>
      </c>
      <c r="C139" t="s">
        <v>77</v>
      </c>
      <c r="D139" t="str" cm="1">
        <f t="array" ref="D139">_xlfn.XLOOKUP(1,
    ('team lookup'!$C$3:$C$97 = B139) * ('team lookup'!$A$3:$A$97 &lt;= A139) * (IF('team lookup'!$B$3:$B$97 = "", 9999, 'team lookup'!$B$3:$B$97) &gt;= A139),
    'team lookup'!$E$3:$E$97,
    "Other"
)</f>
        <v>Big Ten</v>
      </c>
      <c r="E139">
        <f t="shared" si="4"/>
        <v>0</v>
      </c>
      <c r="F139">
        <f t="shared" si="5"/>
        <v>1</v>
      </c>
    </row>
    <row r="140" spans="1:6" x14ac:dyDescent="0.35">
      <c r="A140">
        <v>2011</v>
      </c>
      <c r="B140">
        <v>295</v>
      </c>
      <c r="C140" t="s">
        <v>78</v>
      </c>
      <c r="D140" t="str" cm="1">
        <f t="array" ref="D140">_xlfn.XLOOKUP(1,
    ('team lookup'!$C$3:$C$97 = B140) * ('team lookup'!$A$3:$A$97 &lt;= A140) * (IF('team lookup'!$B$3:$B$97 = "", 9999, 'team lookup'!$B$3:$B$97) &gt;= A140),
    'team lookup'!$E$3:$E$97,
    "Other"
)</f>
        <v>Other</v>
      </c>
      <c r="E140">
        <f t="shared" si="4"/>
        <v>0</v>
      </c>
      <c r="F140">
        <f t="shared" si="5"/>
        <v>0</v>
      </c>
    </row>
    <row r="141" spans="1:6" x14ac:dyDescent="0.35">
      <c r="A141">
        <v>2012</v>
      </c>
      <c r="B141">
        <v>333</v>
      </c>
      <c r="C141" t="s">
        <v>79</v>
      </c>
      <c r="D141" t="str" cm="1">
        <f t="array" ref="D141">_xlfn.XLOOKUP(1,
    ('team lookup'!$C$3:$C$97 = B141) * ('team lookup'!$A$3:$A$97 &lt;= A141) * (IF('team lookup'!$B$3:$B$97 = "", 9999, 'team lookup'!$B$3:$B$97) &gt;= A141),
    'team lookup'!$E$3:$E$97,
    "Other"
)</f>
        <v>SEC</v>
      </c>
      <c r="E141">
        <f t="shared" si="4"/>
        <v>1</v>
      </c>
      <c r="F141">
        <f t="shared" si="5"/>
        <v>1</v>
      </c>
    </row>
    <row r="142" spans="1:6" x14ac:dyDescent="0.35">
      <c r="A142">
        <v>2012</v>
      </c>
      <c r="B142">
        <v>239</v>
      </c>
      <c r="C142" t="s">
        <v>7</v>
      </c>
      <c r="D142" t="str" cm="1">
        <f t="array" ref="D142">_xlfn.XLOOKUP(1,
    ('team lookup'!$C$3:$C$97 = B142) * ('team lookup'!$A$3:$A$97 &lt;= A142) * (IF('team lookup'!$B$3:$B$97 = "", 9999, 'team lookup'!$B$3:$B$97) &gt;= A142),
    'team lookup'!$E$3:$E$97,
    "Other"
)</f>
        <v>Big12</v>
      </c>
      <c r="E142">
        <f t="shared" si="4"/>
        <v>1</v>
      </c>
      <c r="F142">
        <f t="shared" si="5"/>
        <v>1</v>
      </c>
    </row>
    <row r="143" spans="1:6" x14ac:dyDescent="0.35">
      <c r="A143">
        <v>2012</v>
      </c>
      <c r="B143">
        <v>2057</v>
      </c>
      <c r="C143" t="s">
        <v>8</v>
      </c>
      <c r="D143" t="str" cm="1">
        <f t="array" ref="D143">_xlfn.XLOOKUP(1,
    ('team lookup'!$C$3:$C$97 = B143) * ('team lookup'!$A$3:$A$97 &lt;= A143) * (IF('team lookup'!$B$3:$B$97 = "", 9999, 'team lookup'!$B$3:$B$97) &gt;= A143),
    'team lookup'!$E$3:$E$97,
    "Other"
)</f>
        <v>Other</v>
      </c>
      <c r="E143">
        <f t="shared" si="4"/>
        <v>0</v>
      </c>
      <c r="F143">
        <f t="shared" si="5"/>
        <v>0</v>
      </c>
    </row>
    <row r="144" spans="1:6" x14ac:dyDescent="0.35">
      <c r="A144">
        <v>2012</v>
      </c>
      <c r="B144">
        <v>252</v>
      </c>
      <c r="C144" t="s">
        <v>11</v>
      </c>
      <c r="D144" t="str" cm="1">
        <f t="array" ref="D144">_xlfn.XLOOKUP(1,
    ('team lookup'!$C$3:$C$97 = B144) * ('team lookup'!$A$3:$A$97 &lt;= A144) * (IF('team lookup'!$B$3:$B$97 = "", 9999, 'team lookup'!$B$3:$B$97) &gt;= A144),
    'team lookup'!$E$3:$E$97,
    "Other"
)</f>
        <v>Other</v>
      </c>
      <c r="E144">
        <f t="shared" si="4"/>
        <v>0</v>
      </c>
      <c r="F144">
        <f t="shared" si="5"/>
        <v>0</v>
      </c>
    </row>
    <row r="145" spans="1:6" x14ac:dyDescent="0.35">
      <c r="A145">
        <v>2012</v>
      </c>
      <c r="B145">
        <v>25</v>
      </c>
      <c r="C145" t="s">
        <v>42</v>
      </c>
      <c r="D145" t="str" cm="1">
        <f t="array" ref="D145">_xlfn.XLOOKUP(1,
    ('team lookup'!$C$3:$C$97 = B145) * ('team lookup'!$A$3:$A$97 &lt;= A145) * (IF('team lookup'!$B$3:$B$97 = "", 9999, 'team lookup'!$B$3:$B$97) &gt;= A145),
    'team lookup'!$E$3:$E$97,
    "Other"
)</f>
        <v>Other</v>
      </c>
      <c r="E145">
        <f t="shared" si="4"/>
        <v>0</v>
      </c>
      <c r="F145">
        <f t="shared" si="5"/>
        <v>0</v>
      </c>
    </row>
    <row r="146" spans="1:6" x14ac:dyDescent="0.35">
      <c r="A146">
        <v>2012</v>
      </c>
      <c r="B146">
        <v>2132</v>
      </c>
      <c r="C146" t="s">
        <v>70</v>
      </c>
      <c r="D146" t="str" cm="1">
        <f t="array" ref="D146">_xlfn.XLOOKUP(1,
    ('team lookup'!$C$3:$C$97 = B146) * ('team lookup'!$A$3:$A$97 &lt;= A146) * (IF('team lookup'!$B$3:$B$97 = "", 9999, 'team lookup'!$B$3:$B$97) &gt;= A146),
    'team lookup'!$E$3:$E$97,
    "Other"
)</f>
        <v>Big East</v>
      </c>
      <c r="E146">
        <f t="shared" si="4"/>
        <v>0</v>
      </c>
      <c r="F146">
        <f t="shared" si="5"/>
        <v>1</v>
      </c>
    </row>
    <row r="147" spans="1:6" x14ac:dyDescent="0.35">
      <c r="A147">
        <v>2012</v>
      </c>
      <c r="B147">
        <v>38</v>
      </c>
      <c r="C147" t="s">
        <v>80</v>
      </c>
      <c r="D147" t="str" cm="1">
        <f t="array" ref="D147">_xlfn.XLOOKUP(1,
    ('team lookup'!$C$3:$C$97 = B147) * ('team lookup'!$A$3:$A$97 &lt;= A147) * (IF('team lookup'!$B$3:$B$97 = "", 9999, 'team lookup'!$B$3:$B$97) &gt;= A147),
    'team lookup'!$E$3:$E$97,
    "Other"
)</f>
        <v>Other</v>
      </c>
      <c r="E147">
        <f t="shared" si="4"/>
        <v>0</v>
      </c>
      <c r="F147">
        <f t="shared" si="5"/>
        <v>0</v>
      </c>
    </row>
    <row r="148" spans="1:6" x14ac:dyDescent="0.35">
      <c r="A148">
        <v>2012</v>
      </c>
      <c r="B148">
        <v>36</v>
      </c>
      <c r="C148" t="s">
        <v>81</v>
      </c>
      <c r="D148" t="str" cm="1">
        <f t="array" ref="D148">_xlfn.XLOOKUP(1,
    ('team lookup'!$C$3:$C$97 = B148) * ('team lookup'!$A$3:$A$97 &lt;= A148) * (IF('team lookup'!$B$3:$B$97 = "", 9999, 'team lookup'!$B$3:$B$97) &gt;= A148),
    'team lookup'!$E$3:$E$97,
    "Other"
)</f>
        <v>Other</v>
      </c>
      <c r="E148">
        <f t="shared" si="4"/>
        <v>0</v>
      </c>
      <c r="F148">
        <f t="shared" si="5"/>
        <v>0</v>
      </c>
    </row>
    <row r="149" spans="1:6" x14ac:dyDescent="0.35">
      <c r="A149">
        <v>2012</v>
      </c>
      <c r="B149">
        <v>156</v>
      </c>
      <c r="C149" t="s">
        <v>82</v>
      </c>
      <c r="D149" t="str" cm="1">
        <f t="array" ref="D149">_xlfn.XLOOKUP(1,
    ('team lookup'!$C$3:$C$97 = B149) * ('team lookup'!$A$3:$A$97 &lt;= A149) * (IF('team lookup'!$B$3:$B$97 = "", 9999, 'team lookup'!$B$3:$B$97) &gt;= A149),
    'team lookup'!$E$3:$E$97,
    "Other"
)</f>
        <v>Other</v>
      </c>
      <c r="E149">
        <f t="shared" si="4"/>
        <v>0</v>
      </c>
      <c r="F149">
        <f t="shared" si="5"/>
        <v>0</v>
      </c>
    </row>
    <row r="150" spans="1:6" x14ac:dyDescent="0.35">
      <c r="A150">
        <v>2012</v>
      </c>
      <c r="B150">
        <v>2166</v>
      </c>
      <c r="C150" t="s">
        <v>14</v>
      </c>
      <c r="D150" t="str" cm="1">
        <f t="array" ref="D150">_xlfn.XLOOKUP(1,
    ('team lookup'!$C$3:$C$97 = B150) * ('team lookup'!$A$3:$A$97 &lt;= A150) * (IF('team lookup'!$B$3:$B$97 = "", 9999, 'team lookup'!$B$3:$B$97) &gt;= A150),
    'team lookup'!$E$3:$E$97,
    "Other"
)</f>
        <v>Other</v>
      </c>
      <c r="E150">
        <f t="shared" si="4"/>
        <v>0</v>
      </c>
      <c r="F150">
        <f t="shared" si="5"/>
        <v>0</v>
      </c>
    </row>
    <row r="151" spans="1:6" x14ac:dyDescent="0.35">
      <c r="A151">
        <v>2012</v>
      </c>
      <c r="B151">
        <v>2174</v>
      </c>
      <c r="C151" t="s">
        <v>83</v>
      </c>
      <c r="D151" t="str" cm="1">
        <f t="array" ref="D151">_xlfn.XLOOKUP(1,
    ('team lookup'!$C$3:$C$97 = B151) * ('team lookup'!$A$3:$A$97 &lt;= A151) * (IF('team lookup'!$B$3:$B$97 = "", 9999, 'team lookup'!$B$3:$B$97) &gt;= A151),
    'team lookup'!$E$3:$E$97,
    "Other"
)</f>
        <v>Other</v>
      </c>
      <c r="E151">
        <f t="shared" si="4"/>
        <v>0</v>
      </c>
      <c r="F151">
        <f t="shared" si="5"/>
        <v>0</v>
      </c>
    </row>
    <row r="152" spans="1:6" x14ac:dyDescent="0.35">
      <c r="A152">
        <v>2012</v>
      </c>
      <c r="B152">
        <v>150</v>
      </c>
      <c r="C152" t="s">
        <v>16</v>
      </c>
      <c r="D152" t="str" cm="1">
        <f t="array" ref="D152">_xlfn.XLOOKUP(1,
    ('team lookup'!$C$3:$C$97 = B152) * ('team lookup'!$A$3:$A$97 &lt;= A152) * (IF('team lookup'!$B$3:$B$97 = "", 9999, 'team lookup'!$B$3:$B$97) &gt;= A152),
    'team lookup'!$E$3:$E$97,
    "Other"
)</f>
        <v>ACC</v>
      </c>
      <c r="E152">
        <f t="shared" si="4"/>
        <v>1</v>
      </c>
      <c r="F152">
        <f t="shared" si="5"/>
        <v>1</v>
      </c>
    </row>
    <row r="153" spans="1:6" x14ac:dyDescent="0.35">
      <c r="A153">
        <v>2012</v>
      </c>
      <c r="B153">
        <v>57</v>
      </c>
      <c r="C153" t="s">
        <v>58</v>
      </c>
      <c r="D153" t="str" cm="1">
        <f t="array" ref="D153">_xlfn.XLOOKUP(1,
    ('team lookup'!$C$3:$C$97 = B153) * ('team lookup'!$A$3:$A$97 &lt;= A153) * (IF('team lookup'!$B$3:$B$97 = "", 9999, 'team lookup'!$B$3:$B$97) &gt;= A153),
    'team lookup'!$E$3:$E$97,
    "Other"
)</f>
        <v>SEC</v>
      </c>
      <c r="E153">
        <f t="shared" si="4"/>
        <v>1</v>
      </c>
      <c r="F153">
        <f t="shared" si="5"/>
        <v>1</v>
      </c>
    </row>
    <row r="154" spans="1:6" x14ac:dyDescent="0.35">
      <c r="A154">
        <v>2012</v>
      </c>
      <c r="B154">
        <v>52</v>
      </c>
      <c r="C154" t="s">
        <v>48</v>
      </c>
      <c r="D154" t="str" cm="1">
        <f t="array" ref="D154">_xlfn.XLOOKUP(1,
    ('team lookup'!$C$3:$C$97 = B154) * ('team lookup'!$A$3:$A$97 &lt;= A154) * (IF('team lookup'!$B$3:$B$97 = "", 9999, 'team lookup'!$B$3:$B$97) &gt;= A154),
    'team lookup'!$E$3:$E$97,
    "Other"
)</f>
        <v>ACC</v>
      </c>
      <c r="E154">
        <f t="shared" si="4"/>
        <v>1</v>
      </c>
      <c r="F154">
        <f t="shared" si="5"/>
        <v>1</v>
      </c>
    </row>
    <row r="155" spans="1:6" x14ac:dyDescent="0.35">
      <c r="A155">
        <v>2012</v>
      </c>
      <c r="B155">
        <v>46</v>
      </c>
      <c r="C155" t="s">
        <v>19</v>
      </c>
      <c r="D155" t="str" cm="1">
        <f t="array" ref="D155">_xlfn.XLOOKUP(1,
    ('team lookup'!$C$3:$C$97 = B155) * ('team lookup'!$A$3:$A$97 &lt;= A155) * (IF('team lookup'!$B$3:$B$97 = "", 9999, 'team lookup'!$B$3:$B$97) &gt;= A155),
    'team lookup'!$E$3:$E$97,
    "Other"
)</f>
        <v>Big East</v>
      </c>
      <c r="E155">
        <f t="shared" si="4"/>
        <v>0</v>
      </c>
      <c r="F155">
        <f t="shared" si="5"/>
        <v>1</v>
      </c>
    </row>
    <row r="156" spans="1:6" x14ac:dyDescent="0.35">
      <c r="A156">
        <v>2012</v>
      </c>
      <c r="B156">
        <v>2250</v>
      </c>
      <c r="C156" t="s">
        <v>21</v>
      </c>
      <c r="D156" t="str" cm="1">
        <f t="array" ref="D156">_xlfn.XLOOKUP(1,
    ('team lookup'!$C$3:$C$97 = B156) * ('team lookup'!$A$3:$A$97 &lt;= A156) * (IF('team lookup'!$B$3:$B$97 = "", 9999, 'team lookup'!$B$3:$B$97) &gt;= A156),
    'team lookup'!$E$3:$E$97,
    "Other"
)</f>
        <v>Other</v>
      </c>
      <c r="E156">
        <f t="shared" si="4"/>
        <v>0</v>
      </c>
      <c r="F156">
        <f t="shared" si="5"/>
        <v>0</v>
      </c>
    </row>
    <row r="157" spans="1:6" x14ac:dyDescent="0.35">
      <c r="A157">
        <v>2012</v>
      </c>
      <c r="B157">
        <v>108</v>
      </c>
      <c r="C157" t="s">
        <v>84</v>
      </c>
      <c r="D157" t="str" cm="1">
        <f t="array" ref="D157">_xlfn.XLOOKUP(1,
    ('team lookup'!$C$3:$C$97 = B157) * ('team lookup'!$A$3:$A$97 &lt;= A157) * (IF('team lookup'!$B$3:$B$97 = "", 9999, 'team lookup'!$B$3:$B$97) &gt;= A157),
    'team lookup'!$E$3:$E$97,
    "Other"
)</f>
        <v>Other</v>
      </c>
      <c r="E157">
        <f t="shared" si="4"/>
        <v>0</v>
      </c>
      <c r="F157">
        <f t="shared" si="5"/>
        <v>0</v>
      </c>
    </row>
    <row r="158" spans="1:6" x14ac:dyDescent="0.35">
      <c r="A158">
        <v>2012</v>
      </c>
      <c r="B158">
        <v>84</v>
      </c>
      <c r="C158" t="s">
        <v>22</v>
      </c>
      <c r="D158" t="str" cm="1">
        <f t="array" ref="D158">_xlfn.XLOOKUP(1,
    ('team lookup'!$C$3:$C$97 = B158) * ('team lookup'!$A$3:$A$97 &lt;= A158) * (IF('team lookup'!$B$3:$B$97 = "", 9999, 'team lookup'!$B$3:$B$97) &gt;= A158),
    'team lookup'!$E$3:$E$97,
    "Other"
)</f>
        <v>Big Ten</v>
      </c>
      <c r="E158">
        <f t="shared" si="4"/>
        <v>0</v>
      </c>
      <c r="F158">
        <f t="shared" si="5"/>
        <v>1</v>
      </c>
    </row>
    <row r="159" spans="1:6" x14ac:dyDescent="0.35">
      <c r="A159">
        <v>2012</v>
      </c>
      <c r="B159">
        <v>314</v>
      </c>
      <c r="C159" t="s">
        <v>85</v>
      </c>
      <c r="D159" t="str" cm="1">
        <f t="array" ref="D159">_xlfn.XLOOKUP(1,
    ('team lookup'!$C$3:$C$97 = B159) * ('team lookup'!$A$3:$A$97 &lt;= A159) * (IF('team lookup'!$B$3:$B$97 = "", 9999, 'team lookup'!$B$3:$B$97) &gt;= A159),
    'team lookup'!$E$3:$E$97,
    "Other"
)</f>
        <v>Other</v>
      </c>
      <c r="E159">
        <f t="shared" si="4"/>
        <v>0</v>
      </c>
      <c r="F159">
        <f t="shared" si="5"/>
        <v>0</v>
      </c>
    </row>
    <row r="160" spans="1:6" x14ac:dyDescent="0.35">
      <c r="A160">
        <v>2012</v>
      </c>
      <c r="B160">
        <v>66</v>
      </c>
      <c r="C160" t="s">
        <v>86</v>
      </c>
      <c r="D160" t="str" cm="1">
        <f t="array" ref="D160">_xlfn.XLOOKUP(1,
    ('team lookup'!$C$3:$C$97 = B160) * ('team lookup'!$A$3:$A$97 &lt;= A160) * (IF('team lookup'!$B$3:$B$97 = "", 9999, 'team lookup'!$B$3:$B$97) &gt;= A160),
    'team lookup'!$E$3:$E$97,
    "Other"
)</f>
        <v>Big12</v>
      </c>
      <c r="E160">
        <f t="shared" si="4"/>
        <v>1</v>
      </c>
      <c r="F160">
        <f t="shared" si="5"/>
        <v>1</v>
      </c>
    </row>
    <row r="161" spans="1:6" x14ac:dyDescent="0.35">
      <c r="A161">
        <v>2012</v>
      </c>
      <c r="B161">
        <v>2305</v>
      </c>
      <c r="C161" t="s">
        <v>23</v>
      </c>
      <c r="D161" t="str" cm="1">
        <f t="array" ref="D161">_xlfn.XLOOKUP(1,
    ('team lookup'!$C$3:$C$97 = B161) * ('team lookup'!$A$3:$A$97 &lt;= A161) * (IF('team lookup'!$B$3:$B$97 = "", 9999, 'team lookup'!$B$3:$B$97) &gt;= A161),
    'team lookup'!$E$3:$E$97,
    "Other"
)</f>
        <v>Big12</v>
      </c>
      <c r="E161">
        <f t="shared" si="4"/>
        <v>1</v>
      </c>
      <c r="F161">
        <f t="shared" si="5"/>
        <v>1</v>
      </c>
    </row>
    <row r="162" spans="1:6" x14ac:dyDescent="0.35">
      <c r="A162">
        <v>2012</v>
      </c>
      <c r="B162">
        <v>2306</v>
      </c>
      <c r="C162" t="s">
        <v>24</v>
      </c>
      <c r="D162" t="str" cm="1">
        <f t="array" ref="D162">_xlfn.XLOOKUP(1,
    ('team lookup'!$C$3:$C$97 = B162) * ('team lookup'!$A$3:$A$97 &lt;= A162) * (IF('team lookup'!$B$3:$B$97 = "", 9999, 'team lookup'!$B$3:$B$97) &gt;= A162),
    'team lookup'!$E$3:$E$97,
    "Other"
)</f>
        <v>Big12</v>
      </c>
      <c r="E162">
        <f t="shared" si="4"/>
        <v>1</v>
      </c>
      <c r="F162">
        <f t="shared" si="5"/>
        <v>1</v>
      </c>
    </row>
    <row r="163" spans="1:6" x14ac:dyDescent="0.35">
      <c r="A163">
        <v>2012</v>
      </c>
      <c r="B163">
        <v>96</v>
      </c>
      <c r="C163" t="s">
        <v>26</v>
      </c>
      <c r="D163" t="str" cm="1">
        <f t="array" ref="D163">_xlfn.XLOOKUP(1,
    ('team lookup'!$C$3:$C$97 = B163) * ('team lookup'!$A$3:$A$97 &lt;= A163) * (IF('team lookup'!$B$3:$B$97 = "", 9999, 'team lookup'!$B$3:$B$97) &gt;= A163),
    'team lookup'!$E$3:$E$97,
    "Other"
)</f>
        <v>SEC</v>
      </c>
      <c r="E163">
        <f t="shared" si="4"/>
        <v>1</v>
      </c>
      <c r="F163">
        <f t="shared" si="5"/>
        <v>1</v>
      </c>
    </row>
    <row r="164" spans="1:6" x14ac:dyDescent="0.35">
      <c r="A164">
        <v>2012</v>
      </c>
      <c r="B164">
        <v>2320</v>
      </c>
      <c r="C164" t="s">
        <v>87</v>
      </c>
      <c r="D164" t="str" cm="1">
        <f t="array" ref="D164">_xlfn.XLOOKUP(1,
    ('team lookup'!$C$3:$C$97 = B164) * ('team lookup'!$A$3:$A$97 &lt;= A164) * (IF('team lookup'!$B$3:$B$97 = "", 9999, 'team lookup'!$B$3:$B$97) &gt;= A164),
    'team lookup'!$E$3:$E$97,
    "Other"
)</f>
        <v>Other</v>
      </c>
      <c r="E164">
        <f t="shared" si="4"/>
        <v>0</v>
      </c>
      <c r="F164">
        <f t="shared" si="5"/>
        <v>0</v>
      </c>
    </row>
    <row r="165" spans="1:6" x14ac:dyDescent="0.35">
      <c r="A165">
        <v>2012</v>
      </c>
      <c r="B165">
        <v>2329</v>
      </c>
      <c r="C165" t="s">
        <v>61</v>
      </c>
      <c r="D165" t="str" cm="1">
        <f t="array" ref="D165">_xlfn.XLOOKUP(1,
    ('team lookup'!$C$3:$C$97 = B165) * ('team lookup'!$A$3:$A$97 &lt;= A165) * (IF('team lookup'!$B$3:$B$97 = "", 9999, 'team lookup'!$B$3:$B$97) &gt;= A165),
    'team lookup'!$E$3:$E$97,
    "Other"
)</f>
        <v>Other</v>
      </c>
      <c r="E165">
        <f t="shared" si="4"/>
        <v>0</v>
      </c>
      <c r="F165">
        <f t="shared" si="5"/>
        <v>0</v>
      </c>
    </row>
    <row r="166" spans="1:6" x14ac:dyDescent="0.35">
      <c r="A166">
        <v>2012</v>
      </c>
      <c r="B166">
        <v>299</v>
      </c>
      <c r="C166" t="s">
        <v>88</v>
      </c>
      <c r="D166" t="str" cm="1">
        <f t="array" ref="D166">_xlfn.XLOOKUP(1,
    ('team lookup'!$C$3:$C$97 = B166) * ('team lookup'!$A$3:$A$97 &lt;= A166) * (IF('team lookup'!$B$3:$B$97 = "", 9999, 'team lookup'!$B$3:$B$97) &gt;= A166),
    'team lookup'!$E$3:$E$97,
    "Other"
)</f>
        <v>Other</v>
      </c>
      <c r="E166">
        <f t="shared" si="4"/>
        <v>0</v>
      </c>
      <c r="F166">
        <f t="shared" si="5"/>
        <v>0</v>
      </c>
    </row>
    <row r="167" spans="1:6" x14ac:dyDescent="0.35">
      <c r="A167">
        <v>2012</v>
      </c>
      <c r="B167">
        <v>112358</v>
      </c>
      <c r="C167" t="s">
        <v>74</v>
      </c>
      <c r="D167" t="str" cm="1">
        <f t="array" ref="D167">_xlfn.XLOOKUP(1,
    ('team lookup'!$C$3:$C$97 = B167) * ('team lookup'!$A$3:$A$97 &lt;= A167) * (IF('team lookup'!$B$3:$B$97 = "", 9999, 'team lookup'!$B$3:$B$97) &gt;= A167),
    'team lookup'!$E$3:$E$97,
    "Other"
)</f>
        <v>Other</v>
      </c>
      <c r="E167">
        <f t="shared" si="4"/>
        <v>0</v>
      </c>
      <c r="F167">
        <f t="shared" si="5"/>
        <v>0</v>
      </c>
    </row>
    <row r="168" spans="1:6" x14ac:dyDescent="0.35">
      <c r="A168">
        <v>2012</v>
      </c>
      <c r="B168">
        <v>97</v>
      </c>
      <c r="C168" t="s">
        <v>27</v>
      </c>
      <c r="D168" t="str" cm="1">
        <f t="array" ref="D168">_xlfn.XLOOKUP(1,
    ('team lookup'!$C$3:$C$97 = B168) * ('team lookup'!$A$3:$A$97 &lt;= A168) * (IF('team lookup'!$B$3:$B$97 = "", 9999, 'team lookup'!$B$3:$B$97) &gt;= A168),
    'team lookup'!$E$3:$E$97,
    "Other"
)</f>
        <v>Big East</v>
      </c>
      <c r="E168">
        <f t="shared" si="4"/>
        <v>0</v>
      </c>
      <c r="F168">
        <f t="shared" si="5"/>
        <v>1</v>
      </c>
    </row>
    <row r="169" spans="1:6" x14ac:dyDescent="0.35">
      <c r="A169">
        <v>2012</v>
      </c>
      <c r="B169">
        <v>2352</v>
      </c>
      <c r="C169" t="s">
        <v>89</v>
      </c>
      <c r="D169" t="str" cm="1">
        <f t="array" ref="D169">_xlfn.XLOOKUP(1,
    ('team lookup'!$C$3:$C$97 = B169) * ('team lookup'!$A$3:$A$97 &lt;= A169) * (IF('team lookup'!$B$3:$B$97 = "", 9999, 'team lookup'!$B$3:$B$97) &gt;= A169),
    'team lookup'!$E$3:$E$97,
    "Other"
)</f>
        <v>Other</v>
      </c>
      <c r="E169">
        <f t="shared" si="4"/>
        <v>0</v>
      </c>
      <c r="F169">
        <f t="shared" si="5"/>
        <v>0</v>
      </c>
    </row>
    <row r="170" spans="1:6" x14ac:dyDescent="0.35">
      <c r="A170">
        <v>2012</v>
      </c>
      <c r="B170">
        <v>269</v>
      </c>
      <c r="C170" t="s">
        <v>28</v>
      </c>
      <c r="D170" t="str" cm="1">
        <f t="array" ref="D170">_xlfn.XLOOKUP(1,
    ('team lookup'!$C$3:$C$97 = B170) * ('team lookup'!$A$3:$A$97 &lt;= A170) * (IF('team lookup'!$B$3:$B$97 = "", 9999, 'team lookup'!$B$3:$B$97) &gt;= A170),
    'team lookup'!$E$3:$E$97,
    "Other"
)</f>
        <v>Big East</v>
      </c>
      <c r="E170">
        <f t="shared" si="4"/>
        <v>0</v>
      </c>
      <c r="F170">
        <f t="shared" si="5"/>
        <v>1</v>
      </c>
    </row>
    <row r="171" spans="1:6" x14ac:dyDescent="0.35">
      <c r="A171">
        <v>2012</v>
      </c>
      <c r="B171">
        <v>235</v>
      </c>
      <c r="C171" t="s">
        <v>29</v>
      </c>
      <c r="D171" t="str" cm="1">
        <f t="array" ref="D171">_xlfn.XLOOKUP(1,
    ('team lookup'!$C$3:$C$97 = B171) * ('team lookup'!$A$3:$A$97 &lt;= A171) * (IF('team lookup'!$B$3:$B$97 = "", 9999, 'team lookup'!$B$3:$B$97) &gt;= A171),
    'team lookup'!$E$3:$E$97,
    "Other"
)</f>
        <v>Other</v>
      </c>
      <c r="E171">
        <f t="shared" si="4"/>
        <v>0</v>
      </c>
      <c r="F171">
        <f t="shared" si="5"/>
        <v>0</v>
      </c>
    </row>
    <row r="172" spans="1:6" x14ac:dyDescent="0.35">
      <c r="A172">
        <v>2012</v>
      </c>
      <c r="B172">
        <v>130</v>
      </c>
      <c r="C172" t="s">
        <v>52</v>
      </c>
      <c r="D172" t="str" cm="1">
        <f t="array" ref="D172">_xlfn.XLOOKUP(1,
    ('team lookup'!$C$3:$C$97 = B172) * ('team lookup'!$A$3:$A$97 &lt;= A172) * (IF('team lookup'!$B$3:$B$97 = "", 9999, 'team lookup'!$B$3:$B$97) &gt;= A172),
    'team lookup'!$E$3:$E$97,
    "Other"
)</f>
        <v>Big Ten</v>
      </c>
      <c r="E172">
        <f t="shared" si="4"/>
        <v>0</v>
      </c>
      <c r="F172">
        <f t="shared" si="5"/>
        <v>1</v>
      </c>
    </row>
    <row r="173" spans="1:6" x14ac:dyDescent="0.35">
      <c r="A173">
        <v>2012</v>
      </c>
      <c r="B173">
        <v>127</v>
      </c>
      <c r="C173" t="s">
        <v>31</v>
      </c>
      <c r="D173" t="str" cm="1">
        <f t="array" ref="D173">_xlfn.XLOOKUP(1,
    ('team lookup'!$C$3:$C$97 = B173) * ('team lookup'!$A$3:$A$97 &lt;= A173) * (IF('team lookup'!$B$3:$B$97 = "", 9999, 'team lookup'!$B$3:$B$97) &gt;= A173),
    'team lookup'!$E$3:$E$97,
    "Other"
)</f>
        <v>Big Ten</v>
      </c>
      <c r="E173">
        <f t="shared" si="4"/>
        <v>0</v>
      </c>
      <c r="F173">
        <f t="shared" si="5"/>
        <v>1</v>
      </c>
    </row>
    <row r="174" spans="1:6" x14ac:dyDescent="0.35">
      <c r="A174">
        <v>2012</v>
      </c>
      <c r="B174">
        <v>2400</v>
      </c>
      <c r="C174" t="s">
        <v>32</v>
      </c>
      <c r="D174" t="str" cm="1">
        <f t="array" ref="D174">_xlfn.XLOOKUP(1,
    ('team lookup'!$C$3:$C$97 = B174) * ('team lookup'!$A$3:$A$97 &lt;= A174) * (IF('team lookup'!$B$3:$B$97 = "", 9999, 'team lookup'!$B$3:$B$97) &gt;= A174),
    'team lookup'!$E$3:$E$97,
    "Other"
)</f>
        <v>Other</v>
      </c>
      <c r="E174">
        <f t="shared" si="4"/>
        <v>0</v>
      </c>
      <c r="F174">
        <f t="shared" si="5"/>
        <v>0</v>
      </c>
    </row>
    <row r="175" spans="1:6" x14ac:dyDescent="0.35">
      <c r="A175">
        <v>2012</v>
      </c>
      <c r="B175">
        <v>142</v>
      </c>
      <c r="C175" t="s">
        <v>54</v>
      </c>
      <c r="D175" t="str" cm="1">
        <f t="array" ref="D175">_xlfn.XLOOKUP(1,
    ('team lookup'!$C$3:$C$97 = B175) * ('team lookup'!$A$3:$A$97 &lt;= A175) * (IF('team lookup'!$B$3:$B$97 = "", 9999, 'team lookup'!$B$3:$B$97) &gt;= A175),
    'team lookup'!$E$3:$E$97,
    "Other"
)</f>
        <v>Big12</v>
      </c>
      <c r="E175">
        <f t="shared" si="4"/>
        <v>1</v>
      </c>
      <c r="F175">
        <f t="shared" si="5"/>
        <v>1</v>
      </c>
    </row>
    <row r="176" spans="1:6" x14ac:dyDescent="0.35">
      <c r="A176">
        <v>2012</v>
      </c>
      <c r="B176">
        <v>149</v>
      </c>
      <c r="C176" t="s">
        <v>62</v>
      </c>
      <c r="D176" t="str" cm="1">
        <f t="array" ref="D176">_xlfn.XLOOKUP(1,
    ('team lookup'!$C$3:$C$97 = B176) * ('team lookup'!$A$3:$A$97 &lt;= A176) * (IF('team lookup'!$B$3:$B$97 = "", 9999, 'team lookup'!$B$3:$B$97) &gt;= A176),
    'team lookup'!$E$3:$E$97,
    "Other"
)</f>
        <v>Other</v>
      </c>
      <c r="E176">
        <f t="shared" si="4"/>
        <v>0</v>
      </c>
      <c r="F176">
        <f t="shared" si="5"/>
        <v>0</v>
      </c>
    </row>
    <row r="177" spans="1:6" x14ac:dyDescent="0.35">
      <c r="A177">
        <v>2012</v>
      </c>
      <c r="B177">
        <v>93</v>
      </c>
      <c r="C177" t="s">
        <v>63</v>
      </c>
      <c r="D177" t="str" cm="1">
        <f t="array" ref="D177">_xlfn.XLOOKUP(1,
    ('team lookup'!$C$3:$C$97 = B177) * ('team lookup'!$A$3:$A$97 &lt;= A177) * (IF('team lookup'!$B$3:$B$97 = "", 9999, 'team lookup'!$B$3:$B$97) &gt;= A177),
    'team lookup'!$E$3:$E$97,
    "Other"
)</f>
        <v>Other</v>
      </c>
      <c r="E177">
        <f t="shared" si="4"/>
        <v>0</v>
      </c>
      <c r="F177">
        <f t="shared" si="5"/>
        <v>0</v>
      </c>
    </row>
    <row r="178" spans="1:6" x14ac:dyDescent="0.35">
      <c r="A178">
        <v>2012</v>
      </c>
      <c r="B178">
        <v>152</v>
      </c>
      <c r="C178" t="s">
        <v>90</v>
      </c>
      <c r="D178" t="str" cm="1">
        <f t="array" ref="D178">_xlfn.XLOOKUP(1,
    ('team lookup'!$C$3:$C$97 = B178) * ('team lookup'!$A$3:$A$97 &lt;= A178) * (IF('team lookup'!$B$3:$B$97 = "", 9999, 'team lookup'!$B$3:$B$97) &gt;= A178),
    'team lookup'!$E$3:$E$97,
    "Other"
)</f>
        <v>ACC</v>
      </c>
      <c r="E178">
        <f t="shared" si="4"/>
        <v>1</v>
      </c>
      <c r="F178">
        <f t="shared" si="5"/>
        <v>1</v>
      </c>
    </row>
    <row r="179" spans="1:6" x14ac:dyDescent="0.35">
      <c r="A179">
        <v>2013</v>
      </c>
      <c r="B179">
        <v>2006</v>
      </c>
      <c r="C179" t="s">
        <v>37</v>
      </c>
      <c r="D179" t="str" cm="1">
        <f t="array" ref="D179">_xlfn.XLOOKUP(1,
    ('team lookup'!$C$3:$C$97 = B179) * ('team lookup'!$A$3:$A$97 &lt;= A179) * (IF('team lookup'!$B$3:$B$97 = "", 9999, 'team lookup'!$B$3:$B$97) &gt;= A179),
    'team lookup'!$E$3:$E$97,
    "Other"
)</f>
        <v>Other</v>
      </c>
      <c r="E179">
        <f t="shared" si="4"/>
        <v>0</v>
      </c>
      <c r="F179">
        <f t="shared" si="5"/>
        <v>0</v>
      </c>
    </row>
    <row r="180" spans="1:6" x14ac:dyDescent="0.35">
      <c r="A180">
        <v>2013</v>
      </c>
      <c r="B180">
        <v>399</v>
      </c>
      <c r="C180" t="s">
        <v>91</v>
      </c>
      <c r="D180" t="str" cm="1">
        <f t="array" ref="D180">_xlfn.XLOOKUP(1,
    ('team lookup'!$C$3:$C$97 = B180) * ('team lookup'!$A$3:$A$97 &lt;= A180) * (IF('team lookup'!$B$3:$B$97 = "", 9999, 'team lookup'!$B$3:$B$97) &gt;= A180),
    'team lookup'!$E$3:$E$97,
    "Other"
)</f>
        <v>Other</v>
      </c>
      <c r="E180">
        <f t="shared" si="4"/>
        <v>0</v>
      </c>
      <c r="F180">
        <f t="shared" si="5"/>
        <v>0</v>
      </c>
    </row>
    <row r="181" spans="1:6" x14ac:dyDescent="0.35">
      <c r="A181">
        <v>2013</v>
      </c>
      <c r="B181">
        <v>12</v>
      </c>
      <c r="C181" t="s">
        <v>4</v>
      </c>
      <c r="D181" t="str" cm="1">
        <f t="array" ref="D181">_xlfn.XLOOKUP(1,
    ('team lookup'!$C$3:$C$97 = B181) * ('team lookup'!$A$3:$A$97 &lt;= A181) * (IF('team lookup'!$B$3:$B$97 = "", 9999, 'team lookup'!$B$3:$B$97) &gt;= A181),
    'team lookup'!$E$3:$E$97,
    "Other"
)</f>
        <v>Other</v>
      </c>
      <c r="E181">
        <f t="shared" si="4"/>
        <v>0</v>
      </c>
      <c r="F181">
        <f t="shared" si="5"/>
        <v>0</v>
      </c>
    </row>
    <row r="182" spans="1:6" x14ac:dyDescent="0.35">
      <c r="A182">
        <v>2013</v>
      </c>
      <c r="B182">
        <v>2057</v>
      </c>
      <c r="C182" t="s">
        <v>8</v>
      </c>
      <c r="D182" t="str" cm="1">
        <f t="array" ref="D182">_xlfn.XLOOKUP(1,
    ('team lookup'!$C$3:$C$97 = B182) * ('team lookup'!$A$3:$A$97 &lt;= A182) * (IF('team lookup'!$B$3:$B$97 = "", 9999, 'team lookup'!$B$3:$B$97) &gt;= A182),
    'team lookup'!$E$3:$E$97,
    "Other"
)</f>
        <v>Other</v>
      </c>
      <c r="E182">
        <f t="shared" si="4"/>
        <v>0</v>
      </c>
      <c r="F182">
        <f t="shared" si="5"/>
        <v>0</v>
      </c>
    </row>
    <row r="183" spans="1:6" x14ac:dyDescent="0.35">
      <c r="A183">
        <v>2013</v>
      </c>
      <c r="B183">
        <v>68</v>
      </c>
      <c r="C183" t="s">
        <v>9</v>
      </c>
      <c r="D183" t="str" cm="1">
        <f t="array" ref="D183">_xlfn.XLOOKUP(1,
    ('team lookup'!$C$3:$C$97 = B183) * ('team lookup'!$A$3:$A$97 &lt;= A183) * (IF('team lookup'!$B$3:$B$97 = "", 9999, 'team lookup'!$B$3:$B$97) &gt;= A183),
    'team lookup'!$E$3:$E$97,
    "Other"
)</f>
        <v>Other</v>
      </c>
      <c r="E183">
        <f t="shared" si="4"/>
        <v>0</v>
      </c>
      <c r="F183">
        <f t="shared" si="5"/>
        <v>0</v>
      </c>
    </row>
    <row r="184" spans="1:6" x14ac:dyDescent="0.35">
      <c r="A184">
        <v>2013</v>
      </c>
      <c r="B184">
        <v>2083</v>
      </c>
      <c r="C184" t="s">
        <v>69</v>
      </c>
      <c r="D184" t="str" cm="1">
        <f t="array" ref="D184">_xlfn.XLOOKUP(1,
    ('team lookup'!$C$3:$C$97 = B184) * ('team lookup'!$A$3:$A$97 &lt;= A184) * (IF('team lookup'!$B$3:$B$97 = "", 9999, 'team lookup'!$B$3:$B$97) &gt;= A184),
    'team lookup'!$E$3:$E$97,
    "Other"
)</f>
        <v>Other</v>
      </c>
      <c r="E184">
        <f t="shared" si="4"/>
        <v>0</v>
      </c>
      <c r="F184">
        <f t="shared" si="5"/>
        <v>0</v>
      </c>
    </row>
    <row r="185" spans="1:6" x14ac:dyDescent="0.35">
      <c r="A185">
        <v>2013</v>
      </c>
      <c r="B185">
        <v>2086</v>
      </c>
      <c r="C185" t="s">
        <v>10</v>
      </c>
      <c r="D185" t="str" cm="1">
        <f t="array" ref="D185">_xlfn.XLOOKUP(1,
    ('team lookup'!$C$3:$C$97 = B185) * ('team lookup'!$A$3:$A$97 &lt;= A185) * (IF('team lookup'!$B$3:$B$97 = "", 9999, 'team lookup'!$B$3:$B$97) &gt;= A185),
    'team lookup'!$E$3:$E$97,
    "Other"
)</f>
        <v>Other</v>
      </c>
      <c r="E185">
        <f t="shared" si="4"/>
        <v>0</v>
      </c>
      <c r="F185">
        <f t="shared" si="5"/>
        <v>0</v>
      </c>
    </row>
    <row r="186" spans="1:6" x14ac:dyDescent="0.35">
      <c r="A186">
        <v>2013</v>
      </c>
      <c r="B186">
        <v>25</v>
      </c>
      <c r="C186" t="s">
        <v>42</v>
      </c>
      <c r="D186" t="str" cm="1">
        <f t="array" ref="D186">_xlfn.XLOOKUP(1,
    ('team lookup'!$C$3:$C$97 = B186) * ('team lookup'!$A$3:$A$97 &lt;= A186) * (IF('team lookup'!$B$3:$B$97 = "", 9999, 'team lookup'!$B$3:$B$97) &gt;= A186),
    'team lookup'!$E$3:$E$97,
    "Other"
)</f>
        <v>Other</v>
      </c>
      <c r="E186">
        <f t="shared" si="4"/>
        <v>0</v>
      </c>
      <c r="F186">
        <f t="shared" si="5"/>
        <v>0</v>
      </c>
    </row>
    <row r="187" spans="1:6" x14ac:dyDescent="0.35">
      <c r="A187">
        <v>2013</v>
      </c>
      <c r="B187">
        <v>2132</v>
      </c>
      <c r="C187" t="s">
        <v>70</v>
      </c>
      <c r="D187" t="str" cm="1">
        <f t="array" ref="D187">_xlfn.XLOOKUP(1,
    ('team lookup'!$C$3:$C$97 = B187) * ('team lookup'!$A$3:$A$97 &lt;= A187) * (IF('team lookup'!$B$3:$B$97 = "", 9999, 'team lookup'!$B$3:$B$97) &gt;= A187),
    'team lookup'!$E$3:$E$97,
    "Other"
)</f>
        <v>Big East</v>
      </c>
      <c r="E187">
        <f t="shared" si="4"/>
        <v>0</v>
      </c>
      <c r="F187">
        <f t="shared" si="5"/>
        <v>1</v>
      </c>
    </row>
    <row r="188" spans="1:6" x14ac:dyDescent="0.35">
      <c r="A188">
        <v>2013</v>
      </c>
      <c r="B188">
        <v>38</v>
      </c>
      <c r="C188" t="s">
        <v>80</v>
      </c>
      <c r="D188" t="str" cm="1">
        <f t="array" ref="D188">_xlfn.XLOOKUP(1,
    ('team lookup'!$C$3:$C$97 = B188) * ('team lookup'!$A$3:$A$97 &lt;= A188) * (IF('team lookup'!$B$3:$B$97 = "", 9999, 'team lookup'!$B$3:$B$97) &gt;= A188),
    'team lookup'!$E$3:$E$97,
    "Other"
)</f>
        <v>Other</v>
      </c>
      <c r="E188">
        <f t="shared" si="4"/>
        <v>0</v>
      </c>
      <c r="F188">
        <f t="shared" si="5"/>
        <v>0</v>
      </c>
    </row>
    <row r="189" spans="1:6" x14ac:dyDescent="0.35">
      <c r="A189">
        <v>2013</v>
      </c>
      <c r="B189">
        <v>36</v>
      </c>
      <c r="C189" t="s">
        <v>81</v>
      </c>
      <c r="D189" t="str" cm="1">
        <f t="array" ref="D189">_xlfn.XLOOKUP(1,
    ('team lookup'!$C$3:$C$97 = B189) * ('team lookup'!$A$3:$A$97 &lt;= A189) * (IF('team lookup'!$B$3:$B$97 = "", 9999, 'team lookup'!$B$3:$B$97) &gt;= A189),
    'team lookup'!$E$3:$E$97,
    "Other"
)</f>
        <v>Other</v>
      </c>
      <c r="E189">
        <f t="shared" si="4"/>
        <v>0</v>
      </c>
      <c r="F189">
        <f t="shared" si="5"/>
        <v>0</v>
      </c>
    </row>
    <row r="190" spans="1:6" x14ac:dyDescent="0.35">
      <c r="A190">
        <v>2013</v>
      </c>
      <c r="B190">
        <v>156</v>
      </c>
      <c r="C190" t="s">
        <v>82</v>
      </c>
      <c r="D190" t="str" cm="1">
        <f t="array" ref="D190">_xlfn.XLOOKUP(1,
    ('team lookup'!$C$3:$C$97 = B190) * ('team lookup'!$A$3:$A$97 &lt;= A190) * (IF('team lookup'!$B$3:$B$97 = "", 9999, 'team lookup'!$B$3:$B$97) &gt;= A190),
    'team lookup'!$E$3:$E$97,
    "Other"
)</f>
        <v>Other</v>
      </c>
      <c r="E190">
        <f t="shared" si="4"/>
        <v>0</v>
      </c>
      <c r="F190">
        <f t="shared" si="5"/>
        <v>0</v>
      </c>
    </row>
    <row r="191" spans="1:6" x14ac:dyDescent="0.35">
      <c r="A191">
        <v>2013</v>
      </c>
      <c r="B191">
        <v>2166</v>
      </c>
      <c r="C191" t="s">
        <v>14</v>
      </c>
      <c r="D191" t="str" cm="1">
        <f t="array" ref="D191">_xlfn.XLOOKUP(1,
    ('team lookup'!$C$3:$C$97 = B191) * ('team lookup'!$A$3:$A$97 &lt;= A191) * (IF('team lookup'!$B$3:$B$97 = "", 9999, 'team lookup'!$B$3:$B$97) &gt;= A191),
    'team lookup'!$E$3:$E$97,
    "Other"
)</f>
        <v>Other</v>
      </c>
      <c r="E191">
        <f t="shared" si="4"/>
        <v>0</v>
      </c>
      <c r="F191">
        <f t="shared" si="5"/>
        <v>0</v>
      </c>
    </row>
    <row r="192" spans="1:6" x14ac:dyDescent="0.35">
      <c r="A192">
        <v>2013</v>
      </c>
      <c r="B192">
        <v>150</v>
      </c>
      <c r="C192" t="s">
        <v>16</v>
      </c>
      <c r="D192" t="str" cm="1">
        <f t="array" ref="D192">_xlfn.XLOOKUP(1,
    ('team lookup'!$C$3:$C$97 = B192) * ('team lookup'!$A$3:$A$97 &lt;= A192) * (IF('team lookup'!$B$3:$B$97 = "", 9999, 'team lookup'!$B$3:$B$97) &gt;= A192),
    'team lookup'!$E$3:$E$97,
    "Other"
)</f>
        <v>ACC</v>
      </c>
      <c r="E192">
        <f t="shared" si="4"/>
        <v>1</v>
      </c>
      <c r="F192">
        <f t="shared" si="5"/>
        <v>1</v>
      </c>
    </row>
    <row r="193" spans="1:6" x14ac:dyDescent="0.35">
      <c r="A193">
        <v>2013</v>
      </c>
      <c r="B193">
        <v>526</v>
      </c>
      <c r="C193" t="s">
        <v>92</v>
      </c>
      <c r="D193" t="str" cm="1">
        <f t="array" ref="D193">_xlfn.XLOOKUP(1,
    ('team lookup'!$C$3:$C$97 = B193) * ('team lookup'!$A$3:$A$97 &lt;= A193) * (IF('team lookup'!$B$3:$B$97 = "", 9999, 'team lookup'!$B$3:$B$97) &gt;= A193),
    'team lookup'!$E$3:$E$97,
    "Other"
)</f>
        <v>Other</v>
      </c>
      <c r="E193">
        <f t="shared" si="4"/>
        <v>0</v>
      </c>
      <c r="F193">
        <f t="shared" si="5"/>
        <v>0</v>
      </c>
    </row>
    <row r="194" spans="1:6" x14ac:dyDescent="0.35">
      <c r="A194">
        <v>2013</v>
      </c>
      <c r="B194">
        <v>57</v>
      </c>
      <c r="C194" t="s">
        <v>58</v>
      </c>
      <c r="D194" t="str" cm="1">
        <f t="array" ref="D194">_xlfn.XLOOKUP(1,
    ('team lookup'!$C$3:$C$97 = B194) * ('team lookup'!$A$3:$A$97 &lt;= A194) * (IF('team lookup'!$B$3:$B$97 = "", 9999, 'team lookup'!$B$3:$B$97) &gt;= A194),
    'team lookup'!$E$3:$E$97,
    "Other"
)</f>
        <v>SEC</v>
      </c>
      <c r="E194">
        <f t="shared" si="4"/>
        <v>1</v>
      </c>
      <c r="F194">
        <f t="shared" si="5"/>
        <v>1</v>
      </c>
    </row>
    <row r="195" spans="1:6" x14ac:dyDescent="0.35">
      <c r="A195">
        <v>2013</v>
      </c>
      <c r="B195">
        <v>46</v>
      </c>
      <c r="C195" t="s">
        <v>19</v>
      </c>
      <c r="D195" t="str" cm="1">
        <f t="array" ref="D195">_xlfn.XLOOKUP(1,
    ('team lookup'!$C$3:$C$97 = B195) * ('team lookup'!$A$3:$A$97 &lt;= A195) * (IF('team lookup'!$B$3:$B$97 = "", 9999, 'team lookup'!$B$3:$B$97) &gt;= A195),
    'team lookup'!$E$3:$E$97,
    "Other"
)</f>
        <v>Big East</v>
      </c>
      <c r="E195">
        <f t="shared" ref="E195:E258" si="6">IF(OR(D195="ACC", D195="SEC", D195="Big12"), 1,0)</f>
        <v>0</v>
      </c>
      <c r="F195">
        <f t="shared" ref="F195:F258" si="7">IF(D195&lt;&gt;"Other", 1,0)</f>
        <v>1</v>
      </c>
    </row>
    <row r="196" spans="1:6" x14ac:dyDescent="0.35">
      <c r="A196">
        <v>2013</v>
      </c>
      <c r="B196">
        <v>2250</v>
      </c>
      <c r="C196" t="s">
        <v>21</v>
      </c>
      <c r="D196" t="str" cm="1">
        <f t="array" ref="D196">_xlfn.XLOOKUP(1,
    ('team lookup'!$C$3:$C$97 = B196) * ('team lookup'!$A$3:$A$97 &lt;= A196) * (IF('team lookup'!$B$3:$B$97 = "", 9999, 'team lookup'!$B$3:$B$97) &gt;= A196),
    'team lookup'!$E$3:$E$97,
    "Other"
)</f>
        <v>Other</v>
      </c>
      <c r="E196">
        <f t="shared" si="6"/>
        <v>0</v>
      </c>
      <c r="F196">
        <f t="shared" si="7"/>
        <v>0</v>
      </c>
    </row>
    <row r="197" spans="1:6" x14ac:dyDescent="0.35">
      <c r="A197">
        <v>2013</v>
      </c>
      <c r="B197">
        <v>108</v>
      </c>
      <c r="C197" t="s">
        <v>84</v>
      </c>
      <c r="D197" t="str" cm="1">
        <f t="array" ref="D197">_xlfn.XLOOKUP(1,
    ('team lookup'!$C$3:$C$97 = B197) * ('team lookup'!$A$3:$A$97 &lt;= A197) * (IF('team lookup'!$B$3:$B$97 = "", 9999, 'team lookup'!$B$3:$B$97) &gt;= A197),
    'team lookup'!$E$3:$E$97,
    "Other"
)</f>
        <v>Other</v>
      </c>
      <c r="E197">
        <f t="shared" si="6"/>
        <v>0</v>
      </c>
      <c r="F197">
        <f t="shared" si="7"/>
        <v>0</v>
      </c>
    </row>
    <row r="198" spans="1:6" x14ac:dyDescent="0.35">
      <c r="A198">
        <v>2013</v>
      </c>
      <c r="B198">
        <v>356</v>
      </c>
      <c r="C198" t="s">
        <v>49</v>
      </c>
      <c r="D198" t="str" cm="1">
        <f t="array" ref="D198">_xlfn.XLOOKUP(1,
    ('team lookup'!$C$3:$C$97 = B198) * ('team lookup'!$A$3:$A$97 &lt;= A198) * (IF('team lookup'!$B$3:$B$97 = "", 9999, 'team lookup'!$B$3:$B$97) &gt;= A198),
    'team lookup'!$E$3:$E$97,
    "Other"
)</f>
        <v>Big Ten</v>
      </c>
      <c r="E198">
        <f t="shared" si="6"/>
        <v>0</v>
      </c>
      <c r="F198">
        <f t="shared" si="7"/>
        <v>1</v>
      </c>
    </row>
    <row r="199" spans="1:6" x14ac:dyDescent="0.35">
      <c r="A199">
        <v>2013</v>
      </c>
      <c r="B199">
        <v>84</v>
      </c>
      <c r="C199" t="s">
        <v>22</v>
      </c>
      <c r="D199" t="str" cm="1">
        <f t="array" ref="D199">_xlfn.XLOOKUP(1,
    ('team lookup'!$C$3:$C$97 = B199) * ('team lookup'!$A$3:$A$97 &lt;= A199) * (IF('team lookup'!$B$3:$B$97 = "", 9999, 'team lookup'!$B$3:$B$97) &gt;= A199),
    'team lookup'!$E$3:$E$97,
    "Other"
)</f>
        <v>Big Ten</v>
      </c>
      <c r="E199">
        <f t="shared" si="6"/>
        <v>0</v>
      </c>
      <c r="F199">
        <f t="shared" si="7"/>
        <v>1</v>
      </c>
    </row>
    <row r="200" spans="1:6" x14ac:dyDescent="0.35">
      <c r="A200">
        <v>2013</v>
      </c>
      <c r="B200">
        <v>314</v>
      </c>
      <c r="C200" t="s">
        <v>85</v>
      </c>
      <c r="D200" t="str" cm="1">
        <f t="array" ref="D200">_xlfn.XLOOKUP(1,
    ('team lookup'!$C$3:$C$97 = B200) * ('team lookup'!$A$3:$A$97 &lt;= A200) * (IF('team lookup'!$B$3:$B$97 = "", 9999, 'team lookup'!$B$3:$B$97) &gt;= A200),
    'team lookup'!$E$3:$E$97,
    "Other"
)</f>
        <v>Other</v>
      </c>
      <c r="E200">
        <f t="shared" si="6"/>
        <v>0</v>
      </c>
      <c r="F200">
        <f t="shared" si="7"/>
        <v>0</v>
      </c>
    </row>
    <row r="201" spans="1:6" x14ac:dyDescent="0.35">
      <c r="A201">
        <v>2013</v>
      </c>
      <c r="B201">
        <v>66</v>
      </c>
      <c r="C201" t="s">
        <v>86</v>
      </c>
      <c r="D201" t="str" cm="1">
        <f t="array" ref="D201">_xlfn.XLOOKUP(1,
    ('team lookup'!$C$3:$C$97 = B201) * ('team lookup'!$A$3:$A$97 &lt;= A201) * (IF('team lookup'!$B$3:$B$97 = "", 9999, 'team lookup'!$B$3:$B$97) &gt;= A201),
    'team lookup'!$E$3:$E$97,
    "Other"
)</f>
        <v>Big12</v>
      </c>
      <c r="E201">
        <f t="shared" si="6"/>
        <v>1</v>
      </c>
      <c r="F201">
        <f t="shared" si="7"/>
        <v>1</v>
      </c>
    </row>
    <row r="202" spans="1:6" x14ac:dyDescent="0.35">
      <c r="A202">
        <v>2013</v>
      </c>
      <c r="B202">
        <v>256</v>
      </c>
      <c r="C202" t="s">
        <v>93</v>
      </c>
      <c r="D202" t="str" cm="1">
        <f t="array" ref="D202">_xlfn.XLOOKUP(1,
    ('team lookup'!$C$3:$C$97 = B202) * ('team lookup'!$A$3:$A$97 &lt;= A202) * (IF('team lookup'!$B$3:$B$97 = "", 9999, 'team lookup'!$B$3:$B$97) &gt;= A202),
    'team lookup'!$E$3:$E$97,
    "Other"
)</f>
        <v>Other</v>
      </c>
      <c r="E202">
        <f t="shared" si="6"/>
        <v>0</v>
      </c>
      <c r="F202">
        <f t="shared" si="7"/>
        <v>0</v>
      </c>
    </row>
    <row r="203" spans="1:6" x14ac:dyDescent="0.35">
      <c r="A203">
        <v>2013</v>
      </c>
      <c r="B203">
        <v>2305</v>
      </c>
      <c r="C203" t="s">
        <v>23</v>
      </c>
      <c r="D203" t="str" cm="1">
        <f t="array" ref="D203">_xlfn.XLOOKUP(1,
    ('team lookup'!$C$3:$C$97 = B203) * ('team lookup'!$A$3:$A$97 &lt;= A203) * (IF('team lookup'!$B$3:$B$97 = "", 9999, 'team lookup'!$B$3:$B$97) &gt;= A203),
    'team lookup'!$E$3:$E$97,
    "Other"
)</f>
        <v>Big12</v>
      </c>
      <c r="E203">
        <f t="shared" si="6"/>
        <v>1</v>
      </c>
      <c r="F203">
        <f t="shared" si="7"/>
        <v>1</v>
      </c>
    </row>
    <row r="204" spans="1:6" x14ac:dyDescent="0.35">
      <c r="A204">
        <v>2013</v>
      </c>
      <c r="B204">
        <v>2306</v>
      </c>
      <c r="C204" t="s">
        <v>24</v>
      </c>
      <c r="D204" t="str" cm="1">
        <f t="array" ref="D204">_xlfn.XLOOKUP(1,
    ('team lookup'!$C$3:$C$97 = B204) * ('team lookup'!$A$3:$A$97 &lt;= A204) * (IF('team lookup'!$B$3:$B$97 = "", 9999, 'team lookup'!$B$3:$B$97) &gt;= A204),
    'team lookup'!$E$3:$E$97,
    "Other"
)</f>
        <v>Big12</v>
      </c>
      <c r="E204">
        <f t="shared" si="6"/>
        <v>1</v>
      </c>
      <c r="F204">
        <f t="shared" si="7"/>
        <v>1</v>
      </c>
    </row>
    <row r="205" spans="1:6" x14ac:dyDescent="0.35">
      <c r="A205">
        <v>2013</v>
      </c>
      <c r="B205">
        <v>2325</v>
      </c>
      <c r="C205" t="s">
        <v>94</v>
      </c>
      <c r="D205" t="str" cm="1">
        <f t="array" ref="D205">_xlfn.XLOOKUP(1,
    ('team lookup'!$C$3:$C$97 = B205) * ('team lookup'!$A$3:$A$97 &lt;= A205) * (IF('team lookup'!$B$3:$B$97 = "", 9999, 'team lookup'!$B$3:$B$97) &gt;= A205),
    'team lookup'!$E$3:$E$97,
    "Other"
)</f>
        <v>Other</v>
      </c>
      <c r="E205">
        <f t="shared" si="6"/>
        <v>0</v>
      </c>
      <c r="F205">
        <f t="shared" si="7"/>
        <v>0</v>
      </c>
    </row>
    <row r="206" spans="1:6" x14ac:dyDescent="0.35">
      <c r="A206">
        <v>2013</v>
      </c>
      <c r="B206">
        <v>2335</v>
      </c>
      <c r="C206" t="s">
        <v>95</v>
      </c>
      <c r="D206" t="str" cm="1">
        <f t="array" ref="D206">_xlfn.XLOOKUP(1,
    ('team lookup'!$C$3:$C$97 = B206) * ('team lookup'!$A$3:$A$97 &lt;= A206) * (IF('team lookup'!$B$3:$B$97 = "", 9999, 'team lookup'!$B$3:$B$97) &gt;= A206),
    'team lookup'!$E$3:$E$97,
    "Other"
)</f>
        <v>Other</v>
      </c>
      <c r="E206">
        <f t="shared" si="6"/>
        <v>0</v>
      </c>
      <c r="F206">
        <f t="shared" si="7"/>
        <v>0</v>
      </c>
    </row>
    <row r="207" spans="1:6" x14ac:dyDescent="0.35">
      <c r="A207">
        <v>2013</v>
      </c>
      <c r="B207">
        <v>112358</v>
      </c>
      <c r="C207" t="s">
        <v>74</v>
      </c>
      <c r="D207" t="str" cm="1">
        <f t="array" ref="D207">_xlfn.XLOOKUP(1,
    ('team lookup'!$C$3:$C$97 = B207) * ('team lookup'!$A$3:$A$97 &lt;= A207) * (IF('team lookup'!$B$3:$B$97 = "", 9999, 'team lookup'!$B$3:$B$97) &gt;= A207),
    'team lookup'!$E$3:$E$97,
    "Other"
)</f>
        <v>Other</v>
      </c>
      <c r="E207">
        <f t="shared" si="6"/>
        <v>0</v>
      </c>
      <c r="F207">
        <f t="shared" si="7"/>
        <v>0</v>
      </c>
    </row>
    <row r="208" spans="1:6" x14ac:dyDescent="0.35">
      <c r="A208">
        <v>2013</v>
      </c>
      <c r="B208">
        <v>97</v>
      </c>
      <c r="C208" t="s">
        <v>27</v>
      </c>
      <c r="D208" t="str" cm="1">
        <f t="array" ref="D208">_xlfn.XLOOKUP(1,
    ('team lookup'!$C$3:$C$97 = B208) * ('team lookup'!$A$3:$A$97 &lt;= A208) * (IF('team lookup'!$B$3:$B$97 = "", 9999, 'team lookup'!$B$3:$B$97) &gt;= A208),
    'team lookup'!$E$3:$E$97,
    "Other"
)</f>
        <v>Big East</v>
      </c>
      <c r="E208">
        <f t="shared" si="6"/>
        <v>0</v>
      </c>
      <c r="F208">
        <f t="shared" si="7"/>
        <v>1</v>
      </c>
    </row>
    <row r="209" spans="1:6" x14ac:dyDescent="0.35">
      <c r="A209">
        <v>2013</v>
      </c>
      <c r="B209">
        <v>269</v>
      </c>
      <c r="C209" t="s">
        <v>28</v>
      </c>
      <c r="D209" t="str" cm="1">
        <f t="array" ref="D209">_xlfn.XLOOKUP(1,
    ('team lookup'!$C$3:$C$97 = B209) * ('team lookup'!$A$3:$A$97 &lt;= A209) * (IF('team lookup'!$B$3:$B$97 = "", 9999, 'team lookup'!$B$3:$B$97) &gt;= A209),
    'team lookup'!$E$3:$E$97,
    "Other"
)</f>
        <v>Big East</v>
      </c>
      <c r="E209">
        <f t="shared" si="6"/>
        <v>0</v>
      </c>
      <c r="F209">
        <f t="shared" si="7"/>
        <v>1</v>
      </c>
    </row>
    <row r="210" spans="1:6" x14ac:dyDescent="0.35">
      <c r="A210">
        <v>2013</v>
      </c>
      <c r="B210">
        <v>235</v>
      </c>
      <c r="C210" t="s">
        <v>29</v>
      </c>
      <c r="D210" t="str" cm="1">
        <f t="array" ref="D210">_xlfn.XLOOKUP(1,
    ('team lookup'!$C$3:$C$97 = B210) * ('team lookup'!$A$3:$A$97 &lt;= A210) * (IF('team lookup'!$B$3:$B$97 = "", 9999, 'team lookup'!$B$3:$B$97) &gt;= A210),
    'team lookup'!$E$3:$E$97,
    "Other"
)</f>
        <v>Other</v>
      </c>
      <c r="E210">
        <f t="shared" si="6"/>
        <v>0</v>
      </c>
      <c r="F210">
        <f t="shared" si="7"/>
        <v>0</v>
      </c>
    </row>
    <row r="211" spans="1:6" x14ac:dyDescent="0.35">
      <c r="A211">
        <v>2013</v>
      </c>
      <c r="B211">
        <v>2390</v>
      </c>
      <c r="C211" t="s">
        <v>30</v>
      </c>
      <c r="D211" t="str" cm="1">
        <f t="array" ref="D211">_xlfn.XLOOKUP(1,
    ('team lookup'!$C$3:$C$97 = B211) * ('team lookup'!$A$3:$A$97 &lt;= A211) * (IF('team lookup'!$B$3:$B$97 = "", 9999, 'team lookup'!$B$3:$B$97) &gt;= A211),
    'team lookup'!$E$3:$E$97,
    "Other"
)</f>
        <v>ACC</v>
      </c>
      <c r="E211">
        <f t="shared" si="6"/>
        <v>1</v>
      </c>
      <c r="F211">
        <f t="shared" si="7"/>
        <v>1</v>
      </c>
    </row>
    <row r="212" spans="1:6" x14ac:dyDescent="0.35">
      <c r="A212">
        <v>2013</v>
      </c>
      <c r="B212">
        <v>130</v>
      </c>
      <c r="C212" t="s">
        <v>52</v>
      </c>
      <c r="D212" t="str" cm="1">
        <f t="array" ref="D212">_xlfn.XLOOKUP(1,
    ('team lookup'!$C$3:$C$97 = B212) * ('team lookup'!$A$3:$A$97 &lt;= A212) * (IF('team lookup'!$B$3:$B$97 = "", 9999, 'team lookup'!$B$3:$B$97) &gt;= A212),
    'team lookup'!$E$3:$E$97,
    "Other"
)</f>
        <v>Big Ten</v>
      </c>
      <c r="E212">
        <f t="shared" si="6"/>
        <v>0</v>
      </c>
      <c r="F212">
        <f t="shared" si="7"/>
        <v>1</v>
      </c>
    </row>
    <row r="213" spans="1:6" x14ac:dyDescent="0.35">
      <c r="A213">
        <v>2013</v>
      </c>
      <c r="B213">
        <v>127</v>
      </c>
      <c r="C213" t="s">
        <v>31</v>
      </c>
      <c r="D213" t="str" cm="1">
        <f t="array" ref="D213">_xlfn.XLOOKUP(1,
    ('team lookup'!$C$3:$C$97 = B213) * ('team lookup'!$A$3:$A$97 &lt;= A213) * (IF('team lookup'!$B$3:$B$97 = "", 9999, 'team lookup'!$B$3:$B$97) &gt;= A213),
    'team lookup'!$E$3:$E$97,
    "Other"
)</f>
        <v>Big Ten</v>
      </c>
      <c r="E213">
        <f t="shared" si="6"/>
        <v>0</v>
      </c>
      <c r="F213">
        <f t="shared" si="7"/>
        <v>1</v>
      </c>
    </row>
    <row r="214" spans="1:6" x14ac:dyDescent="0.35">
      <c r="A214">
        <v>2013</v>
      </c>
      <c r="B214">
        <v>135</v>
      </c>
      <c r="C214" t="s">
        <v>53</v>
      </c>
      <c r="D214" t="str" cm="1">
        <f t="array" ref="D214">_xlfn.XLOOKUP(1,
    ('team lookup'!$C$3:$C$97 = B214) * ('team lookup'!$A$3:$A$97 &lt;= A214) * (IF('team lookup'!$B$3:$B$97 = "", 9999, 'team lookup'!$B$3:$B$97) &gt;= A214),
    'team lookup'!$E$3:$E$97,
    "Other"
)</f>
        <v>Big Ten</v>
      </c>
      <c r="E214">
        <f t="shared" si="6"/>
        <v>0</v>
      </c>
      <c r="F214">
        <f t="shared" si="7"/>
        <v>1</v>
      </c>
    </row>
    <row r="215" spans="1:6" x14ac:dyDescent="0.35">
      <c r="A215">
        <v>2013</v>
      </c>
      <c r="B215">
        <v>142</v>
      </c>
      <c r="C215" t="s">
        <v>54</v>
      </c>
      <c r="D215" t="str" cm="1">
        <f t="array" ref="D215">_xlfn.XLOOKUP(1,
    ('team lookup'!$C$3:$C$97 = B215) * ('team lookup'!$A$3:$A$97 &lt;= A215) * (IF('team lookup'!$B$3:$B$97 = "", 9999, 'team lookup'!$B$3:$B$97) &gt;= A215),
    'team lookup'!$E$3:$E$97,
    "Other"
)</f>
        <v>SEC</v>
      </c>
      <c r="E215">
        <f t="shared" si="6"/>
        <v>1</v>
      </c>
      <c r="F215">
        <f t="shared" si="7"/>
        <v>1</v>
      </c>
    </row>
    <row r="216" spans="1:6" x14ac:dyDescent="0.35">
      <c r="A216">
        <v>2013</v>
      </c>
      <c r="B216">
        <v>149</v>
      </c>
      <c r="C216" t="s">
        <v>62</v>
      </c>
      <c r="D216" t="str" cm="1">
        <f t="array" ref="D216">_xlfn.XLOOKUP(1,
    ('team lookup'!$C$3:$C$97 = B216) * ('team lookup'!$A$3:$A$97 &lt;= A216) * (IF('team lookup'!$B$3:$B$97 = "", 9999, 'team lookup'!$B$3:$B$97) &gt;= A216),
    'team lookup'!$E$3:$E$97,
    "Other"
)</f>
        <v>Other</v>
      </c>
      <c r="E216">
        <f t="shared" si="6"/>
        <v>0</v>
      </c>
      <c r="F216">
        <f t="shared" si="7"/>
        <v>0</v>
      </c>
    </row>
    <row r="217" spans="1:6" x14ac:dyDescent="0.35">
      <c r="A217">
        <v>2014</v>
      </c>
      <c r="B217">
        <v>399</v>
      </c>
      <c r="C217" t="s">
        <v>91</v>
      </c>
      <c r="D217" t="str" cm="1">
        <f t="array" ref="D217">_xlfn.XLOOKUP(1,
    ('team lookup'!$C$3:$C$97 = B217) * ('team lookup'!$A$3:$A$97 &lt;= A217) * (IF('team lookup'!$B$3:$B$97 = "", 9999, 'team lookup'!$B$3:$B$97) &gt;= A217),
    'team lookup'!$E$3:$E$97,
    "Other"
)</f>
        <v>Other</v>
      </c>
      <c r="E217">
        <f t="shared" si="6"/>
        <v>0</v>
      </c>
      <c r="F217">
        <f t="shared" si="7"/>
        <v>0</v>
      </c>
    </row>
    <row r="218" spans="1:6" x14ac:dyDescent="0.35">
      <c r="A218">
        <v>2014</v>
      </c>
      <c r="B218">
        <v>44</v>
      </c>
      <c r="C218" t="s">
        <v>3</v>
      </c>
      <c r="D218" t="str" cm="1">
        <f t="array" ref="D218">_xlfn.XLOOKUP(1,
    ('team lookup'!$C$3:$C$97 = B218) * ('team lookup'!$A$3:$A$97 &lt;= A218) * (IF('team lookup'!$B$3:$B$97 = "", 9999, 'team lookup'!$B$3:$B$97) &gt;= A218),
    'team lookup'!$E$3:$E$97,
    "Other"
)</f>
        <v>Other</v>
      </c>
      <c r="E218">
        <f t="shared" si="6"/>
        <v>0</v>
      </c>
      <c r="F218">
        <f t="shared" si="7"/>
        <v>0</v>
      </c>
    </row>
    <row r="219" spans="1:6" x14ac:dyDescent="0.35">
      <c r="A219">
        <v>2014</v>
      </c>
      <c r="B219">
        <v>12</v>
      </c>
      <c r="C219" t="s">
        <v>4</v>
      </c>
      <c r="D219" t="str" cm="1">
        <f t="array" ref="D219">_xlfn.XLOOKUP(1,
    ('team lookup'!$C$3:$C$97 = B219) * ('team lookup'!$A$3:$A$97 &lt;= A219) * (IF('team lookup'!$B$3:$B$97 = "", 9999, 'team lookup'!$B$3:$B$97) &gt;= A219),
    'team lookup'!$E$3:$E$97,
    "Other"
)</f>
        <v>Other</v>
      </c>
      <c r="E219">
        <f t="shared" si="6"/>
        <v>0</v>
      </c>
      <c r="F219">
        <f t="shared" si="7"/>
        <v>0</v>
      </c>
    </row>
    <row r="220" spans="1:6" x14ac:dyDescent="0.35">
      <c r="A220">
        <v>2014</v>
      </c>
      <c r="B220">
        <v>9</v>
      </c>
      <c r="C220" t="s">
        <v>39</v>
      </c>
      <c r="D220" t="str" cm="1">
        <f t="array" ref="D220">_xlfn.XLOOKUP(1,
    ('team lookup'!$C$3:$C$97 = B220) * ('team lookup'!$A$3:$A$97 &lt;= A220) * (IF('team lookup'!$B$3:$B$97 = "", 9999, 'team lookup'!$B$3:$B$97) &gt;= A220),
    'team lookup'!$E$3:$E$97,
    "Other"
)</f>
        <v>Other</v>
      </c>
      <c r="E220">
        <f t="shared" si="6"/>
        <v>0</v>
      </c>
      <c r="F220">
        <f t="shared" si="7"/>
        <v>0</v>
      </c>
    </row>
    <row r="221" spans="1:6" x14ac:dyDescent="0.35">
      <c r="A221">
        <v>2014</v>
      </c>
      <c r="B221">
        <v>239</v>
      </c>
      <c r="C221" t="s">
        <v>7</v>
      </c>
      <c r="D221" t="str" cm="1">
        <f t="array" ref="D221">_xlfn.XLOOKUP(1,
    ('team lookup'!$C$3:$C$97 = B221) * ('team lookup'!$A$3:$A$97 &lt;= A221) * (IF('team lookup'!$B$3:$B$97 = "", 9999, 'team lookup'!$B$3:$B$97) &gt;= A221),
    'team lookup'!$E$3:$E$97,
    "Other"
)</f>
        <v>Big12</v>
      </c>
      <c r="E221">
        <f t="shared" si="6"/>
        <v>1</v>
      </c>
      <c r="F221">
        <f t="shared" si="7"/>
        <v>1</v>
      </c>
    </row>
    <row r="222" spans="1:6" x14ac:dyDescent="0.35">
      <c r="A222">
        <v>2014</v>
      </c>
      <c r="B222">
        <v>252</v>
      </c>
      <c r="C222" t="s">
        <v>11</v>
      </c>
      <c r="D222" t="str" cm="1">
        <f t="array" ref="D222">_xlfn.XLOOKUP(1,
    ('team lookup'!$C$3:$C$97 = B222) * ('team lookup'!$A$3:$A$97 &lt;= A222) * (IF('team lookup'!$B$3:$B$97 = "", 9999, 'team lookup'!$B$3:$B$97) &gt;= A222),
    'team lookup'!$E$3:$E$97,
    "Other"
)</f>
        <v>Other</v>
      </c>
      <c r="E222">
        <f t="shared" si="6"/>
        <v>0</v>
      </c>
      <c r="F222">
        <f t="shared" si="7"/>
        <v>0</v>
      </c>
    </row>
    <row r="223" spans="1:6" x14ac:dyDescent="0.35">
      <c r="A223">
        <v>2014</v>
      </c>
      <c r="B223">
        <v>13</v>
      </c>
      <c r="C223" t="s">
        <v>96</v>
      </c>
      <c r="D223" t="str" cm="1">
        <f t="array" ref="D223">_xlfn.XLOOKUP(1,
    ('team lookup'!$C$3:$C$97 = B223) * ('team lookup'!$A$3:$A$97 &lt;= A223) * (IF('team lookup'!$B$3:$B$97 = "", 9999, 'team lookup'!$B$3:$B$97) &gt;= A223),
    'team lookup'!$E$3:$E$97,
    "Other"
)</f>
        <v>Other</v>
      </c>
      <c r="E223">
        <f t="shared" si="6"/>
        <v>0</v>
      </c>
      <c r="F223">
        <f t="shared" si="7"/>
        <v>0</v>
      </c>
    </row>
    <row r="224" spans="1:6" x14ac:dyDescent="0.35">
      <c r="A224">
        <v>2014</v>
      </c>
      <c r="B224">
        <v>2132</v>
      </c>
      <c r="C224" t="s">
        <v>70</v>
      </c>
      <c r="D224" t="str" cm="1">
        <f t="array" ref="D224">_xlfn.XLOOKUP(1,
    ('team lookup'!$C$3:$C$97 = B224) * ('team lookup'!$A$3:$A$97 &lt;= A224) * (IF('team lookup'!$B$3:$B$97 = "", 9999, 'team lookup'!$B$3:$B$97) &gt;= A224),
    'team lookup'!$E$3:$E$97,
    "Other"
)</f>
        <v>Other</v>
      </c>
      <c r="E224">
        <f t="shared" si="6"/>
        <v>0</v>
      </c>
      <c r="F224">
        <f t="shared" si="7"/>
        <v>0</v>
      </c>
    </row>
    <row r="225" spans="1:6" x14ac:dyDescent="0.35">
      <c r="A225">
        <v>2014</v>
      </c>
      <c r="B225">
        <v>324</v>
      </c>
      <c r="C225" t="s">
        <v>97</v>
      </c>
      <c r="D225" t="str" cm="1">
        <f t="array" ref="D225">_xlfn.XLOOKUP(1,
    ('team lookup'!$C$3:$C$97 = B225) * ('team lookup'!$A$3:$A$97 &lt;= A225) * (IF('team lookup'!$B$3:$B$97 = "", 9999, 'team lookup'!$B$3:$B$97) &gt;= A225),
    'team lookup'!$E$3:$E$97,
    "Other"
)</f>
        <v>Other</v>
      </c>
      <c r="E225">
        <f t="shared" si="6"/>
        <v>0</v>
      </c>
      <c r="F225">
        <f t="shared" si="7"/>
        <v>0</v>
      </c>
    </row>
    <row r="226" spans="1:6" x14ac:dyDescent="0.35">
      <c r="A226">
        <v>2014</v>
      </c>
      <c r="B226">
        <v>38</v>
      </c>
      <c r="C226" t="s">
        <v>80</v>
      </c>
      <c r="D226" t="str" cm="1">
        <f t="array" ref="D226">_xlfn.XLOOKUP(1,
    ('team lookup'!$C$3:$C$97 = B226) * ('team lookup'!$A$3:$A$97 &lt;= A226) * (IF('team lookup'!$B$3:$B$97 = "", 9999, 'team lookup'!$B$3:$B$97) &gt;= A226),
    'team lookup'!$E$3:$E$97,
    "Other"
)</f>
        <v>Other</v>
      </c>
      <c r="E226">
        <f t="shared" si="6"/>
        <v>0</v>
      </c>
      <c r="F226">
        <f t="shared" si="7"/>
        <v>0</v>
      </c>
    </row>
    <row r="227" spans="1:6" x14ac:dyDescent="0.35">
      <c r="A227">
        <v>2014</v>
      </c>
      <c r="B227">
        <v>156</v>
      </c>
      <c r="C227" t="s">
        <v>82</v>
      </c>
      <c r="D227" t="str" cm="1">
        <f t="array" ref="D227">_xlfn.XLOOKUP(1,
    ('team lookup'!$C$3:$C$97 = B227) * ('team lookup'!$A$3:$A$97 &lt;= A227) * (IF('team lookup'!$B$3:$B$97 = "", 9999, 'team lookup'!$B$3:$B$97) &gt;= A227),
    'team lookup'!$E$3:$E$97,
    "Other"
)</f>
        <v>Big East</v>
      </c>
      <c r="E227">
        <f t="shared" si="6"/>
        <v>0</v>
      </c>
      <c r="F227">
        <f t="shared" si="7"/>
        <v>1</v>
      </c>
    </row>
    <row r="228" spans="1:6" x14ac:dyDescent="0.35">
      <c r="A228">
        <v>2014</v>
      </c>
      <c r="B228">
        <v>2168</v>
      </c>
      <c r="C228" t="s">
        <v>46</v>
      </c>
      <c r="D228" t="str" cm="1">
        <f t="array" ref="D228">_xlfn.XLOOKUP(1,
    ('team lookup'!$C$3:$C$97 = B228) * ('team lookup'!$A$3:$A$97 &lt;= A228) * (IF('team lookup'!$B$3:$B$97 = "", 9999, 'team lookup'!$B$3:$B$97) &gt;= A228),
    'team lookup'!$E$3:$E$97,
    "Other"
)</f>
        <v>Other</v>
      </c>
      <c r="E228">
        <f t="shared" si="6"/>
        <v>0</v>
      </c>
      <c r="F228">
        <f t="shared" si="7"/>
        <v>0</v>
      </c>
    </row>
    <row r="229" spans="1:6" x14ac:dyDescent="0.35">
      <c r="A229">
        <v>2014</v>
      </c>
      <c r="B229">
        <v>48</v>
      </c>
      <c r="C229" t="s">
        <v>98</v>
      </c>
      <c r="D229" t="str" cm="1">
        <f t="array" ref="D229">_xlfn.XLOOKUP(1,
    ('team lookup'!$C$3:$C$97 = B229) * ('team lookup'!$A$3:$A$97 &lt;= A229) * (IF('team lookup'!$B$3:$B$97 = "", 9999, 'team lookup'!$B$3:$B$97) &gt;= A229),
    'team lookup'!$E$3:$E$97,
    "Other"
)</f>
        <v>Other</v>
      </c>
      <c r="E229">
        <f t="shared" si="6"/>
        <v>0</v>
      </c>
      <c r="F229">
        <f t="shared" si="7"/>
        <v>0</v>
      </c>
    </row>
    <row r="230" spans="1:6" x14ac:dyDescent="0.35">
      <c r="A230">
        <v>2014</v>
      </c>
      <c r="B230">
        <v>150</v>
      </c>
      <c r="C230" t="s">
        <v>16</v>
      </c>
      <c r="D230" t="str" cm="1">
        <f t="array" ref="D230">_xlfn.XLOOKUP(1,
    ('team lookup'!$C$3:$C$97 = B230) * ('team lookup'!$A$3:$A$97 &lt;= A230) * (IF('team lookup'!$B$3:$B$97 = "", 9999, 'team lookup'!$B$3:$B$97) &gt;= A230),
    'team lookup'!$E$3:$E$97,
    "Other"
)</f>
        <v>ACC</v>
      </c>
      <c r="E230">
        <f t="shared" si="6"/>
        <v>1</v>
      </c>
      <c r="F230">
        <f t="shared" si="7"/>
        <v>1</v>
      </c>
    </row>
    <row r="231" spans="1:6" x14ac:dyDescent="0.35">
      <c r="A231">
        <v>2014</v>
      </c>
      <c r="B231">
        <v>2198</v>
      </c>
      <c r="C231" t="s">
        <v>99</v>
      </c>
      <c r="D231" t="str" cm="1">
        <f t="array" ref="D231">_xlfn.XLOOKUP(1,
    ('team lookup'!$C$3:$C$97 = B231) * ('team lookup'!$A$3:$A$97 &lt;= A231) * (IF('team lookup'!$B$3:$B$97 = "", 9999, 'team lookup'!$B$3:$B$97) &gt;= A231),
    'team lookup'!$E$3:$E$97,
    "Other"
)</f>
        <v>Other</v>
      </c>
      <c r="E231">
        <f t="shared" si="6"/>
        <v>0</v>
      </c>
      <c r="F231">
        <f t="shared" si="7"/>
        <v>0</v>
      </c>
    </row>
    <row r="232" spans="1:6" x14ac:dyDescent="0.35">
      <c r="A232">
        <v>2014</v>
      </c>
      <c r="B232">
        <v>57</v>
      </c>
      <c r="C232" t="s">
        <v>58</v>
      </c>
      <c r="D232" t="str" cm="1">
        <f t="array" ref="D232">_xlfn.XLOOKUP(1,
    ('team lookup'!$C$3:$C$97 = B232) * ('team lookup'!$A$3:$A$97 &lt;= A232) * (IF('team lookup'!$B$3:$B$97 = "", 9999, 'team lookup'!$B$3:$B$97) &gt;= A232),
    'team lookup'!$E$3:$E$97,
    "Other"
)</f>
        <v>SEC</v>
      </c>
      <c r="E232">
        <f t="shared" si="6"/>
        <v>1</v>
      </c>
      <c r="F232">
        <f t="shared" si="7"/>
        <v>1</v>
      </c>
    </row>
    <row r="233" spans="1:6" x14ac:dyDescent="0.35">
      <c r="A233">
        <v>2014</v>
      </c>
      <c r="B233">
        <v>45</v>
      </c>
      <c r="C233" t="s">
        <v>100</v>
      </c>
      <c r="D233" t="str" cm="1">
        <f t="array" ref="D233">_xlfn.XLOOKUP(1,
    ('team lookup'!$C$3:$C$97 = B233) * ('team lookup'!$A$3:$A$97 &lt;= A233) * (IF('team lookup'!$B$3:$B$97 = "", 9999, 'team lookup'!$B$3:$B$97) &gt;= A233),
    'team lookup'!$E$3:$E$97,
    "Other"
)</f>
        <v>Other</v>
      </c>
      <c r="E233">
        <f t="shared" si="6"/>
        <v>0</v>
      </c>
      <c r="F233">
        <f t="shared" si="7"/>
        <v>0</v>
      </c>
    </row>
    <row r="234" spans="1:6" x14ac:dyDescent="0.35">
      <c r="A234">
        <v>2014</v>
      </c>
      <c r="B234">
        <v>2250</v>
      </c>
      <c r="C234" t="s">
        <v>21</v>
      </c>
      <c r="D234" t="str" cm="1">
        <f t="array" ref="D234">_xlfn.XLOOKUP(1,
    ('team lookup'!$C$3:$C$97 = B234) * ('team lookup'!$A$3:$A$97 &lt;= A234) * (IF('team lookup'!$B$3:$B$97 = "", 9999, 'team lookup'!$B$3:$B$97) &gt;= A234),
    'team lookup'!$E$3:$E$97,
    "Other"
)</f>
        <v>Other</v>
      </c>
      <c r="E234">
        <f t="shared" si="6"/>
        <v>0</v>
      </c>
      <c r="F234">
        <f t="shared" si="7"/>
        <v>0</v>
      </c>
    </row>
    <row r="235" spans="1:6" x14ac:dyDescent="0.35">
      <c r="A235">
        <v>2014</v>
      </c>
      <c r="B235">
        <v>108</v>
      </c>
      <c r="C235" t="s">
        <v>84</v>
      </c>
      <c r="D235" t="str" cm="1">
        <f t="array" ref="D235">_xlfn.XLOOKUP(1,
    ('team lookup'!$C$3:$C$97 = B235) * ('team lookup'!$A$3:$A$97 &lt;= A235) * (IF('team lookup'!$B$3:$B$97 = "", 9999, 'team lookup'!$B$3:$B$97) &gt;= A235),
    'team lookup'!$E$3:$E$97,
    "Other"
)</f>
        <v>Other</v>
      </c>
      <c r="E235">
        <f t="shared" si="6"/>
        <v>0</v>
      </c>
      <c r="F235">
        <f t="shared" si="7"/>
        <v>0</v>
      </c>
    </row>
    <row r="236" spans="1:6" x14ac:dyDescent="0.35">
      <c r="A236">
        <v>2014</v>
      </c>
      <c r="B236">
        <v>2294</v>
      </c>
      <c r="C236" t="s">
        <v>101</v>
      </c>
      <c r="D236" t="str" cm="1">
        <f t="array" ref="D236">_xlfn.XLOOKUP(1,
    ('team lookup'!$C$3:$C$97 = B236) * ('team lookup'!$A$3:$A$97 &lt;= A236) * (IF('team lookup'!$B$3:$B$97 = "", 9999, 'team lookup'!$B$3:$B$97) &gt;= A236),
    'team lookup'!$E$3:$E$97,
    "Other"
)</f>
        <v>Big Ten</v>
      </c>
      <c r="E236">
        <f t="shared" si="6"/>
        <v>0</v>
      </c>
      <c r="F236">
        <f t="shared" si="7"/>
        <v>1</v>
      </c>
    </row>
    <row r="237" spans="1:6" x14ac:dyDescent="0.35">
      <c r="A237">
        <v>2014</v>
      </c>
      <c r="B237">
        <v>66</v>
      </c>
      <c r="C237" t="s">
        <v>86</v>
      </c>
      <c r="D237" t="str" cm="1">
        <f t="array" ref="D237">_xlfn.XLOOKUP(1,
    ('team lookup'!$C$3:$C$97 = B237) * ('team lookup'!$A$3:$A$97 &lt;= A237) * (IF('team lookup'!$B$3:$B$97 = "", 9999, 'team lookup'!$B$3:$B$97) &gt;= A237),
    'team lookup'!$E$3:$E$97,
    "Other"
)</f>
        <v>Big12</v>
      </c>
      <c r="E237">
        <f t="shared" si="6"/>
        <v>1</v>
      </c>
      <c r="F237">
        <f t="shared" si="7"/>
        <v>1</v>
      </c>
    </row>
    <row r="238" spans="1:6" x14ac:dyDescent="0.35">
      <c r="A238">
        <v>2014</v>
      </c>
      <c r="B238">
        <v>2305</v>
      </c>
      <c r="C238" t="s">
        <v>23</v>
      </c>
      <c r="D238" t="str" cm="1">
        <f t="array" ref="D238">_xlfn.XLOOKUP(1,
    ('team lookup'!$C$3:$C$97 = B238) * ('team lookup'!$A$3:$A$97 &lt;= A238) * (IF('team lookup'!$B$3:$B$97 = "", 9999, 'team lookup'!$B$3:$B$97) &gt;= A238),
    'team lookup'!$E$3:$E$97,
    "Other"
)</f>
        <v>Big12</v>
      </c>
      <c r="E238">
        <f t="shared" si="6"/>
        <v>1</v>
      </c>
      <c r="F238">
        <f t="shared" si="7"/>
        <v>1</v>
      </c>
    </row>
    <row r="239" spans="1:6" x14ac:dyDescent="0.35">
      <c r="A239">
        <v>2014</v>
      </c>
      <c r="B239">
        <v>2306</v>
      </c>
      <c r="C239" t="s">
        <v>24</v>
      </c>
      <c r="D239" t="str" cm="1">
        <f t="array" ref="D239">_xlfn.XLOOKUP(1,
    ('team lookup'!$C$3:$C$97 = B239) * ('team lookup'!$A$3:$A$97 &lt;= A239) * (IF('team lookup'!$B$3:$B$97 = "", 9999, 'team lookup'!$B$3:$B$97) &gt;= A239),
    'team lookup'!$E$3:$E$97,
    "Other"
)</f>
        <v>Big12</v>
      </c>
      <c r="E239">
        <f t="shared" si="6"/>
        <v>1</v>
      </c>
      <c r="F239">
        <f t="shared" si="7"/>
        <v>1</v>
      </c>
    </row>
    <row r="240" spans="1:6" x14ac:dyDescent="0.35">
      <c r="A240">
        <v>2014</v>
      </c>
      <c r="B240">
        <v>96</v>
      </c>
      <c r="C240" t="s">
        <v>26</v>
      </c>
      <c r="D240" t="str" cm="1">
        <f t="array" ref="D240">_xlfn.XLOOKUP(1,
    ('team lookup'!$C$3:$C$97 = B240) * ('team lookup'!$A$3:$A$97 &lt;= A240) * (IF('team lookup'!$B$3:$B$97 = "", 9999, 'team lookup'!$B$3:$B$97) &gt;= A240),
    'team lookup'!$E$3:$E$97,
    "Other"
)</f>
        <v>SEC</v>
      </c>
      <c r="E240">
        <f t="shared" si="6"/>
        <v>1</v>
      </c>
      <c r="F240">
        <f t="shared" si="7"/>
        <v>1</v>
      </c>
    </row>
    <row r="241" spans="1:6" x14ac:dyDescent="0.35">
      <c r="A241">
        <v>2014</v>
      </c>
      <c r="B241">
        <v>309</v>
      </c>
      <c r="C241" t="s">
        <v>102</v>
      </c>
      <c r="D241" t="str" cm="1">
        <f t="array" ref="D241">_xlfn.XLOOKUP(1,
    ('team lookup'!$C$3:$C$97 = B241) * ('team lookup'!$A$3:$A$97 &lt;= A241) * (IF('team lookup'!$B$3:$B$97 = "", 9999, 'team lookup'!$B$3:$B$97) &gt;= A241),
    'team lookup'!$E$3:$E$97,
    "Other"
)</f>
        <v>Other</v>
      </c>
      <c r="E241">
        <f t="shared" si="6"/>
        <v>0</v>
      </c>
      <c r="F241">
        <f t="shared" si="7"/>
        <v>0</v>
      </c>
    </row>
    <row r="242" spans="1:6" x14ac:dyDescent="0.35">
      <c r="A242">
        <v>2014</v>
      </c>
      <c r="B242">
        <v>97</v>
      </c>
      <c r="C242" t="s">
        <v>27</v>
      </c>
      <c r="D242" t="str" cm="1">
        <f t="array" ref="D242">_xlfn.XLOOKUP(1,
    ('team lookup'!$C$3:$C$97 = B242) * ('team lookup'!$A$3:$A$97 &lt;= A242) * (IF('team lookup'!$B$3:$B$97 = "", 9999, 'team lookup'!$B$3:$B$97) &gt;= A242),
    'team lookup'!$E$3:$E$97,
    "Other"
)</f>
        <v>Other</v>
      </c>
      <c r="E242">
        <f t="shared" si="6"/>
        <v>0</v>
      </c>
      <c r="F242">
        <f t="shared" si="7"/>
        <v>0</v>
      </c>
    </row>
    <row r="243" spans="1:6" x14ac:dyDescent="0.35">
      <c r="A243">
        <v>2014</v>
      </c>
      <c r="B243">
        <v>2363</v>
      </c>
      <c r="C243" t="s">
        <v>103</v>
      </c>
      <c r="D243" t="str" cm="1">
        <f t="array" ref="D243">_xlfn.XLOOKUP(1,
    ('team lookup'!$C$3:$C$97 = B243) * ('team lookup'!$A$3:$A$97 &lt;= A243) * (IF('team lookup'!$B$3:$B$97 = "", 9999, 'team lookup'!$B$3:$B$97) &gt;= A243),
    'team lookup'!$E$3:$E$97,
    "Other"
)</f>
        <v>Other</v>
      </c>
      <c r="E243">
        <f t="shared" si="6"/>
        <v>0</v>
      </c>
      <c r="F243">
        <f t="shared" si="7"/>
        <v>0</v>
      </c>
    </row>
    <row r="244" spans="1:6" x14ac:dyDescent="0.35">
      <c r="A244">
        <v>2014</v>
      </c>
      <c r="B244">
        <v>235</v>
      </c>
      <c r="C244" t="s">
        <v>29</v>
      </c>
      <c r="D244" t="str" cm="1">
        <f t="array" ref="D244">_xlfn.XLOOKUP(1,
    ('team lookup'!$C$3:$C$97 = B244) * ('team lookup'!$A$3:$A$97 &lt;= A244) * (IF('team lookup'!$B$3:$B$97 = "", 9999, 'team lookup'!$B$3:$B$97) &gt;= A244),
    'team lookup'!$E$3:$E$97,
    "Other"
)</f>
        <v>Other</v>
      </c>
      <c r="E244">
        <f t="shared" si="6"/>
        <v>0</v>
      </c>
      <c r="F244">
        <f t="shared" si="7"/>
        <v>0</v>
      </c>
    </row>
    <row r="245" spans="1:6" x14ac:dyDescent="0.35">
      <c r="A245">
        <v>2014</v>
      </c>
      <c r="B245">
        <v>2382</v>
      </c>
      <c r="C245" t="s">
        <v>104</v>
      </c>
      <c r="D245" t="str" cm="1">
        <f t="array" ref="D245">_xlfn.XLOOKUP(1,
    ('team lookup'!$C$3:$C$97 = B245) * ('team lookup'!$A$3:$A$97 &lt;= A245) * (IF('team lookup'!$B$3:$B$97 = "", 9999, 'team lookup'!$B$3:$B$97) &gt;= A245),
    'team lookup'!$E$3:$E$97,
    "Other"
)</f>
        <v>Other</v>
      </c>
      <c r="E245">
        <f t="shared" si="6"/>
        <v>0</v>
      </c>
      <c r="F245">
        <f t="shared" si="7"/>
        <v>0</v>
      </c>
    </row>
    <row r="246" spans="1:6" x14ac:dyDescent="0.35">
      <c r="A246">
        <v>2014</v>
      </c>
      <c r="B246">
        <v>130</v>
      </c>
      <c r="C246" t="s">
        <v>52</v>
      </c>
      <c r="D246" t="str" cm="1">
        <f t="array" ref="D246">_xlfn.XLOOKUP(1,
    ('team lookup'!$C$3:$C$97 = B246) * ('team lookup'!$A$3:$A$97 &lt;= A246) * (IF('team lookup'!$B$3:$B$97 = "", 9999, 'team lookup'!$B$3:$B$97) &gt;= A246),
    'team lookup'!$E$3:$E$97,
    "Other"
)</f>
        <v>Big Ten</v>
      </c>
      <c r="E246">
        <f t="shared" si="6"/>
        <v>0</v>
      </c>
      <c r="F246">
        <f t="shared" si="7"/>
        <v>1</v>
      </c>
    </row>
    <row r="247" spans="1:6" x14ac:dyDescent="0.35">
      <c r="A247">
        <v>2014</v>
      </c>
      <c r="B247">
        <v>127</v>
      </c>
      <c r="C247" t="s">
        <v>31</v>
      </c>
      <c r="D247" t="str" cm="1">
        <f t="array" ref="D247">_xlfn.XLOOKUP(1,
    ('team lookup'!$C$3:$C$97 = B247) * ('team lookup'!$A$3:$A$97 &lt;= A247) * (IF('team lookup'!$B$3:$B$97 = "", 9999, 'team lookup'!$B$3:$B$97) &gt;= A247),
    'team lookup'!$E$3:$E$97,
    "Other"
)</f>
        <v>Big Ten</v>
      </c>
      <c r="E247">
        <f t="shared" si="6"/>
        <v>0</v>
      </c>
      <c r="F247">
        <f t="shared" si="7"/>
        <v>1</v>
      </c>
    </row>
    <row r="248" spans="1:6" x14ac:dyDescent="0.35">
      <c r="A248">
        <v>2014</v>
      </c>
      <c r="B248">
        <v>270</v>
      </c>
      <c r="C248" t="s">
        <v>105</v>
      </c>
      <c r="D248" t="str" cm="1">
        <f t="array" ref="D248">_xlfn.XLOOKUP(1,
    ('team lookup'!$C$3:$C$97 = B248) * ('team lookup'!$A$3:$A$97 &lt;= A248) * (IF('team lookup'!$B$3:$B$97 = "", 9999, 'team lookup'!$B$3:$B$97) &gt;= A248),
    'team lookup'!$E$3:$E$97,
    "Other"
)</f>
        <v>Other</v>
      </c>
      <c r="E248">
        <f t="shared" si="6"/>
        <v>0</v>
      </c>
      <c r="F248">
        <f t="shared" si="7"/>
        <v>0</v>
      </c>
    </row>
    <row r="249" spans="1:6" x14ac:dyDescent="0.35">
      <c r="A249">
        <v>2014</v>
      </c>
      <c r="B249">
        <v>116</v>
      </c>
      <c r="C249" t="s">
        <v>34</v>
      </c>
      <c r="D249" t="str" cm="1">
        <f t="array" ref="D249">_xlfn.XLOOKUP(1,
    ('team lookup'!$C$3:$C$97 = B249) * ('team lookup'!$A$3:$A$97 &lt;= A249) * (IF('team lookup'!$B$3:$B$97 = "", 9999, 'team lookup'!$B$3:$B$97) &gt;= A249),
    'team lookup'!$E$3:$E$97,
    "Other"
)</f>
        <v>Other</v>
      </c>
      <c r="E249">
        <f t="shared" si="6"/>
        <v>0</v>
      </c>
      <c r="F249">
        <f t="shared" si="7"/>
        <v>0</v>
      </c>
    </row>
    <row r="250" spans="1:6" x14ac:dyDescent="0.35">
      <c r="A250">
        <v>2014</v>
      </c>
      <c r="B250">
        <v>2449</v>
      </c>
      <c r="C250" t="s">
        <v>106</v>
      </c>
      <c r="D250" t="str" cm="1">
        <f t="array" ref="D250">_xlfn.XLOOKUP(1,
    ('team lookup'!$C$3:$C$97 = B250) * ('team lookup'!$A$3:$A$97 &lt;= A250) * (IF('team lookup'!$B$3:$B$97 = "", 9999, 'team lookup'!$B$3:$B$97) &gt;= A250),
    'team lookup'!$E$3:$E$97,
    "Other"
)</f>
        <v>Other</v>
      </c>
      <c r="E250">
        <f t="shared" si="6"/>
        <v>0</v>
      </c>
      <c r="F250">
        <f t="shared" si="7"/>
        <v>0</v>
      </c>
    </row>
    <row r="251" spans="1:6" x14ac:dyDescent="0.35">
      <c r="A251">
        <v>2014</v>
      </c>
      <c r="B251">
        <v>2428</v>
      </c>
      <c r="C251" t="s">
        <v>107</v>
      </c>
      <c r="D251" t="str" cm="1">
        <f t="array" ref="D251">_xlfn.XLOOKUP(1,
    ('team lookup'!$C$3:$C$97 = B251) * ('team lookup'!$A$3:$A$97 &lt;= A251) * (IF('team lookup'!$B$3:$B$97 = "", 9999, 'team lookup'!$B$3:$B$97) &gt;= A251),
    'team lookup'!$E$3:$E$97,
    "Other"
)</f>
        <v>Other</v>
      </c>
      <c r="E251">
        <f t="shared" si="6"/>
        <v>0</v>
      </c>
      <c r="F251">
        <f t="shared" si="7"/>
        <v>0</v>
      </c>
    </row>
    <row r="252" spans="1:6" x14ac:dyDescent="0.35">
      <c r="A252">
        <v>2014</v>
      </c>
      <c r="B252">
        <v>152</v>
      </c>
      <c r="C252" t="s">
        <v>90</v>
      </c>
      <c r="D252" t="str" cm="1">
        <f t="array" ref="D252">_xlfn.XLOOKUP(1,
    ('team lookup'!$C$3:$C$97 = B252) * ('team lookup'!$A$3:$A$97 &lt;= A252) * (IF('team lookup'!$B$3:$B$97 = "", 9999, 'team lookup'!$B$3:$B$97) &gt;= A252),
    'team lookup'!$E$3:$E$97,
    "Other"
)</f>
        <v>ACC</v>
      </c>
      <c r="E252">
        <f t="shared" si="6"/>
        <v>1</v>
      </c>
      <c r="F252">
        <f t="shared" si="7"/>
        <v>1</v>
      </c>
    </row>
    <row r="253" spans="1:6" x14ac:dyDescent="0.35">
      <c r="A253">
        <v>2014</v>
      </c>
      <c r="B253">
        <v>158</v>
      </c>
      <c r="C253" t="s">
        <v>108</v>
      </c>
      <c r="D253" t="str" cm="1">
        <f t="array" ref="D253">_xlfn.XLOOKUP(1,
    ('team lookup'!$C$3:$C$97 = B253) * ('team lookup'!$A$3:$A$97 &lt;= A253) * (IF('team lookup'!$B$3:$B$97 = "", 9999, 'team lookup'!$B$3:$B$97) &gt;= A253),
    'team lookup'!$E$3:$E$97,
    "Other"
)</f>
        <v>Big Ten</v>
      </c>
      <c r="E253">
        <f t="shared" si="6"/>
        <v>0</v>
      </c>
      <c r="F253">
        <f t="shared" si="7"/>
        <v>1</v>
      </c>
    </row>
    <row r="254" spans="1:6" x14ac:dyDescent="0.35">
      <c r="A254">
        <v>2015</v>
      </c>
      <c r="B254">
        <v>399</v>
      </c>
      <c r="C254" t="s">
        <v>91</v>
      </c>
      <c r="D254" t="str" cm="1">
        <f t="array" ref="D254">_xlfn.XLOOKUP(1,
    ('team lookup'!$C$3:$C$97 = B254) * ('team lookup'!$A$3:$A$97 &lt;= A254) * (IF('team lookup'!$B$3:$B$97 = "", 9999, 'team lookup'!$B$3:$B$97) &gt;= A254),
    'team lookup'!$E$3:$E$97,
    "Other"
)</f>
        <v>Other</v>
      </c>
      <c r="E254">
        <f t="shared" si="6"/>
        <v>0</v>
      </c>
      <c r="F254">
        <f t="shared" si="7"/>
        <v>0</v>
      </c>
    </row>
    <row r="255" spans="1:6" x14ac:dyDescent="0.35">
      <c r="A255">
        <v>2015</v>
      </c>
      <c r="B255">
        <v>12</v>
      </c>
      <c r="C255" t="s">
        <v>4</v>
      </c>
      <c r="D255" t="str" cm="1">
        <f t="array" ref="D255">_xlfn.XLOOKUP(1,
    ('team lookup'!$C$3:$C$97 = B255) * ('team lookup'!$A$3:$A$97 &lt;= A255) * (IF('team lookup'!$B$3:$B$97 = "", 9999, 'team lookup'!$B$3:$B$97) &gt;= A255),
    'team lookup'!$E$3:$E$97,
    "Other"
)</f>
        <v>Other</v>
      </c>
      <c r="E255">
        <f t="shared" si="6"/>
        <v>0</v>
      </c>
      <c r="F255">
        <f t="shared" si="7"/>
        <v>0</v>
      </c>
    </row>
    <row r="256" spans="1:6" x14ac:dyDescent="0.35">
      <c r="A256">
        <v>2015</v>
      </c>
      <c r="B256">
        <v>8</v>
      </c>
      <c r="C256" t="s">
        <v>5</v>
      </c>
      <c r="D256" t="str" cm="1">
        <f t="array" ref="D256">_xlfn.XLOOKUP(1,
    ('team lookup'!$C$3:$C$97 = B256) * ('team lookup'!$A$3:$A$97 &lt;= A256) * (IF('team lookup'!$B$3:$B$97 = "", 9999, 'team lookup'!$B$3:$B$97) &gt;= A256),
    'team lookup'!$E$3:$E$97,
    "Other"
)</f>
        <v>SEC</v>
      </c>
      <c r="E256">
        <f t="shared" si="6"/>
        <v>1</v>
      </c>
      <c r="F256">
        <f t="shared" si="7"/>
        <v>1</v>
      </c>
    </row>
    <row r="257" spans="1:6" x14ac:dyDescent="0.35">
      <c r="A257">
        <v>2015</v>
      </c>
      <c r="B257">
        <v>239</v>
      </c>
      <c r="C257" t="s">
        <v>7</v>
      </c>
      <c r="D257" t="str" cm="1">
        <f t="array" ref="D257">_xlfn.XLOOKUP(1,
    ('team lookup'!$C$3:$C$97 = B257) * ('team lookup'!$A$3:$A$97 &lt;= A257) * (IF('team lookup'!$B$3:$B$97 = "", 9999, 'team lookup'!$B$3:$B$97) &gt;= A257),
    'team lookup'!$E$3:$E$97,
    "Other"
)</f>
        <v>Big12</v>
      </c>
      <c r="E257">
        <f t="shared" si="6"/>
        <v>1</v>
      </c>
      <c r="F257">
        <f t="shared" si="7"/>
        <v>1</v>
      </c>
    </row>
    <row r="258" spans="1:6" x14ac:dyDescent="0.35">
      <c r="A258">
        <v>2015</v>
      </c>
      <c r="B258">
        <v>2057</v>
      </c>
      <c r="C258" t="s">
        <v>8</v>
      </c>
      <c r="D258" t="str" cm="1">
        <f t="array" ref="D258">_xlfn.XLOOKUP(1,
    ('team lookup'!$C$3:$C$97 = B258) * ('team lookup'!$A$3:$A$97 &lt;= A258) * (IF('team lookup'!$B$3:$B$97 = "", 9999, 'team lookup'!$B$3:$B$97) &gt;= A258),
    'team lookup'!$E$3:$E$97,
    "Other"
)</f>
        <v>Other</v>
      </c>
      <c r="E258">
        <f t="shared" si="6"/>
        <v>0</v>
      </c>
      <c r="F258">
        <f t="shared" si="7"/>
        <v>0</v>
      </c>
    </row>
    <row r="259" spans="1:6" x14ac:dyDescent="0.35">
      <c r="A259">
        <v>2015</v>
      </c>
      <c r="B259">
        <v>68</v>
      </c>
      <c r="C259" t="s">
        <v>9</v>
      </c>
      <c r="D259" t="str" cm="1">
        <f t="array" ref="D259">_xlfn.XLOOKUP(1,
    ('team lookup'!$C$3:$C$97 = B259) * ('team lookup'!$A$3:$A$97 &lt;= A259) * (IF('team lookup'!$B$3:$B$97 = "", 9999, 'team lookup'!$B$3:$B$97) &gt;= A259),
    'team lookup'!$E$3:$E$97,
    "Other"
)</f>
        <v>Other</v>
      </c>
      <c r="E259">
        <f t="shared" ref="E259:E322" si="8">IF(OR(D259="ACC", D259="SEC", D259="Big12"), 1,0)</f>
        <v>0</v>
      </c>
      <c r="F259">
        <f t="shared" ref="F259:F322" si="9">IF(D259&lt;&gt;"Other", 1,0)</f>
        <v>0</v>
      </c>
    </row>
    <row r="260" spans="1:6" x14ac:dyDescent="0.35">
      <c r="A260">
        <v>2015</v>
      </c>
      <c r="B260">
        <v>2084</v>
      </c>
      <c r="C260" t="s">
        <v>109</v>
      </c>
      <c r="D260" t="str" cm="1">
        <f t="array" ref="D260">_xlfn.XLOOKUP(1,
    ('team lookup'!$C$3:$C$97 = B260) * ('team lookup'!$A$3:$A$97 &lt;= A260) * (IF('team lookup'!$B$3:$B$97 = "", 9999, 'team lookup'!$B$3:$B$97) &gt;= A260),
    'team lookup'!$E$3:$E$97,
    "Other"
)</f>
        <v>Other</v>
      </c>
      <c r="E260">
        <f t="shared" si="8"/>
        <v>0</v>
      </c>
      <c r="F260">
        <f t="shared" si="9"/>
        <v>0</v>
      </c>
    </row>
    <row r="261" spans="1:6" x14ac:dyDescent="0.35">
      <c r="A261">
        <v>2015</v>
      </c>
      <c r="B261">
        <v>2086</v>
      </c>
      <c r="C261" t="s">
        <v>10</v>
      </c>
      <c r="D261" t="str" cm="1">
        <f t="array" ref="D261">_xlfn.XLOOKUP(1,
    ('team lookup'!$C$3:$C$97 = B261) * ('team lookup'!$A$3:$A$97 &lt;= A261) * (IF('team lookup'!$B$3:$B$97 = "", 9999, 'team lookup'!$B$3:$B$97) &gt;= A261),
    'team lookup'!$E$3:$E$97,
    "Other"
)</f>
        <v>Big East</v>
      </c>
      <c r="E261">
        <f t="shared" si="8"/>
        <v>0</v>
      </c>
      <c r="F261">
        <f t="shared" si="9"/>
        <v>1</v>
      </c>
    </row>
    <row r="262" spans="1:6" x14ac:dyDescent="0.35">
      <c r="A262">
        <v>2015</v>
      </c>
      <c r="B262">
        <v>252</v>
      </c>
      <c r="C262" t="s">
        <v>11</v>
      </c>
      <c r="D262" t="str" cm="1">
        <f t="array" ref="D262">_xlfn.XLOOKUP(1,
    ('team lookup'!$C$3:$C$97 = B262) * ('team lookup'!$A$3:$A$97 &lt;= A262) * (IF('team lookup'!$B$3:$B$97 = "", 9999, 'team lookup'!$B$3:$B$97) &gt;= A262),
    'team lookup'!$E$3:$E$97,
    "Other"
)</f>
        <v>Other</v>
      </c>
      <c r="E262">
        <f t="shared" si="8"/>
        <v>0</v>
      </c>
      <c r="F262">
        <f t="shared" si="9"/>
        <v>0</v>
      </c>
    </row>
    <row r="263" spans="1:6" x14ac:dyDescent="0.35">
      <c r="A263">
        <v>2015</v>
      </c>
      <c r="B263">
        <v>2132</v>
      </c>
      <c r="C263" t="s">
        <v>70</v>
      </c>
      <c r="D263" t="str" cm="1">
        <f t="array" ref="D263">_xlfn.XLOOKUP(1,
    ('team lookup'!$C$3:$C$97 = B263) * ('team lookup'!$A$3:$A$97 &lt;= A263) * (IF('team lookup'!$B$3:$B$97 = "", 9999, 'team lookup'!$B$3:$B$97) &gt;= A263),
    'team lookup'!$E$3:$E$97,
    "Other"
)</f>
        <v>Other</v>
      </c>
      <c r="E263">
        <f t="shared" si="8"/>
        <v>0</v>
      </c>
      <c r="F263">
        <f t="shared" si="9"/>
        <v>0</v>
      </c>
    </row>
    <row r="264" spans="1:6" x14ac:dyDescent="0.35">
      <c r="A264">
        <v>2015</v>
      </c>
      <c r="B264">
        <v>324</v>
      </c>
      <c r="C264" t="s">
        <v>97</v>
      </c>
      <c r="D264" t="str" cm="1">
        <f t="array" ref="D264">_xlfn.XLOOKUP(1,
    ('team lookup'!$C$3:$C$97 = B264) * ('team lookup'!$A$3:$A$97 &lt;= A264) * (IF('team lookup'!$B$3:$B$97 = "", 9999, 'team lookup'!$B$3:$B$97) &gt;= A264),
    'team lookup'!$E$3:$E$97,
    "Other"
)</f>
        <v>Other</v>
      </c>
      <c r="E264">
        <f t="shared" si="8"/>
        <v>0</v>
      </c>
      <c r="F264">
        <f t="shared" si="9"/>
        <v>0</v>
      </c>
    </row>
    <row r="265" spans="1:6" x14ac:dyDescent="0.35">
      <c r="A265">
        <v>2015</v>
      </c>
      <c r="B265">
        <v>2166</v>
      </c>
      <c r="C265" t="s">
        <v>14</v>
      </c>
      <c r="D265" t="str" cm="1">
        <f t="array" ref="D265">_xlfn.XLOOKUP(1,
    ('team lookup'!$C$3:$C$97 = B265) * ('team lookup'!$A$3:$A$97 &lt;= A265) * (IF('team lookup'!$B$3:$B$97 = "", 9999, 'team lookup'!$B$3:$B$97) &gt;= A265),
    'team lookup'!$E$3:$E$97,
    "Other"
)</f>
        <v>Other</v>
      </c>
      <c r="E265">
        <f t="shared" si="8"/>
        <v>0</v>
      </c>
      <c r="F265">
        <f t="shared" si="9"/>
        <v>0</v>
      </c>
    </row>
    <row r="266" spans="1:6" x14ac:dyDescent="0.35">
      <c r="A266">
        <v>2015</v>
      </c>
      <c r="B266">
        <v>2168</v>
      </c>
      <c r="C266" t="s">
        <v>46</v>
      </c>
      <c r="D266" t="str" cm="1">
        <f t="array" ref="D266">_xlfn.XLOOKUP(1,
    ('team lookup'!$C$3:$C$97 = B266) * ('team lookup'!$A$3:$A$97 &lt;= A266) * (IF('team lookup'!$B$3:$B$97 = "", 9999, 'team lookup'!$B$3:$B$97) &gt;= A266),
    'team lookup'!$E$3:$E$97,
    "Other"
)</f>
        <v>Other</v>
      </c>
      <c r="E266">
        <f t="shared" si="8"/>
        <v>0</v>
      </c>
      <c r="F266">
        <f t="shared" si="9"/>
        <v>0</v>
      </c>
    </row>
    <row r="267" spans="1:6" x14ac:dyDescent="0.35">
      <c r="A267">
        <v>2015</v>
      </c>
      <c r="B267">
        <v>150</v>
      </c>
      <c r="C267" t="s">
        <v>16</v>
      </c>
      <c r="D267" t="str" cm="1">
        <f t="array" ref="D267">_xlfn.XLOOKUP(1,
    ('team lookup'!$C$3:$C$97 = B267) * ('team lookup'!$A$3:$A$97 &lt;= A267) * (IF('team lookup'!$B$3:$B$97 = "", 9999, 'team lookup'!$B$3:$B$97) &gt;= A267),
    'team lookup'!$E$3:$E$97,
    "Other"
)</f>
        <v>ACC</v>
      </c>
      <c r="E267">
        <f t="shared" si="8"/>
        <v>1</v>
      </c>
      <c r="F267">
        <f t="shared" si="9"/>
        <v>1</v>
      </c>
    </row>
    <row r="268" spans="1:6" x14ac:dyDescent="0.35">
      <c r="A268">
        <v>2015</v>
      </c>
      <c r="B268">
        <v>331</v>
      </c>
      <c r="C268" t="s">
        <v>110</v>
      </c>
      <c r="D268" t="str" cm="1">
        <f t="array" ref="D268">_xlfn.XLOOKUP(1,
    ('team lookup'!$C$3:$C$97 = B268) * ('team lookup'!$A$3:$A$97 &lt;= A268) * (IF('team lookup'!$B$3:$B$97 = "", 9999, 'team lookup'!$B$3:$B$97) &gt;= A268),
    'team lookup'!$E$3:$E$97,
    "Other"
)</f>
        <v>Other</v>
      </c>
      <c r="E268">
        <f t="shared" si="8"/>
        <v>0</v>
      </c>
      <c r="F268">
        <f t="shared" si="9"/>
        <v>0</v>
      </c>
    </row>
    <row r="269" spans="1:6" x14ac:dyDescent="0.35">
      <c r="A269">
        <v>2015</v>
      </c>
      <c r="B269">
        <v>46</v>
      </c>
      <c r="C269" t="s">
        <v>19</v>
      </c>
      <c r="D269" t="str" cm="1">
        <f t="array" ref="D269">_xlfn.XLOOKUP(1,
    ('team lookup'!$C$3:$C$97 = B269) * ('team lookup'!$A$3:$A$97 &lt;= A269) * (IF('team lookup'!$B$3:$B$97 = "", 9999, 'team lookup'!$B$3:$B$97) &gt;= A269),
    'team lookup'!$E$3:$E$97,
    "Other"
)</f>
        <v>Big East</v>
      </c>
      <c r="E269">
        <f t="shared" si="8"/>
        <v>0</v>
      </c>
      <c r="F269">
        <f t="shared" si="9"/>
        <v>1</v>
      </c>
    </row>
    <row r="270" spans="1:6" x14ac:dyDescent="0.35">
      <c r="A270">
        <v>2015</v>
      </c>
      <c r="B270">
        <v>61</v>
      </c>
      <c r="C270" t="s">
        <v>20</v>
      </c>
      <c r="D270" t="str" cm="1">
        <f t="array" ref="D270">_xlfn.XLOOKUP(1,
    ('team lookup'!$C$3:$C$97 = B270) * ('team lookup'!$A$3:$A$97 &lt;= A270) * (IF('team lookup'!$B$3:$B$97 = "", 9999, 'team lookup'!$B$3:$B$97) &gt;= A270),
    'team lookup'!$E$3:$E$97,
    "Other"
)</f>
        <v>SEC</v>
      </c>
      <c r="E270">
        <f t="shared" si="8"/>
        <v>1</v>
      </c>
      <c r="F270">
        <f t="shared" si="9"/>
        <v>1</v>
      </c>
    </row>
    <row r="271" spans="1:6" x14ac:dyDescent="0.35">
      <c r="A271">
        <v>2015</v>
      </c>
      <c r="B271">
        <v>2247</v>
      </c>
      <c r="C271" t="s">
        <v>111</v>
      </c>
      <c r="D271" t="str" cm="1">
        <f t="array" ref="D271">_xlfn.XLOOKUP(1,
    ('team lookup'!$C$3:$C$97 = B271) * ('team lookup'!$A$3:$A$97 &lt;= A271) * (IF('team lookup'!$B$3:$B$97 = "", 9999, 'team lookup'!$B$3:$B$97) &gt;= A271),
    'team lookup'!$E$3:$E$97,
    "Other"
)</f>
        <v>Other</v>
      </c>
      <c r="E271">
        <f t="shared" si="8"/>
        <v>0</v>
      </c>
      <c r="F271">
        <f t="shared" si="9"/>
        <v>0</v>
      </c>
    </row>
    <row r="272" spans="1:6" x14ac:dyDescent="0.35">
      <c r="A272">
        <v>2015</v>
      </c>
      <c r="B272">
        <v>2250</v>
      </c>
      <c r="C272" t="s">
        <v>21</v>
      </c>
      <c r="D272" t="str" cm="1">
        <f t="array" ref="D272">_xlfn.XLOOKUP(1,
    ('team lookup'!$C$3:$C$97 = B272) * ('team lookup'!$A$3:$A$97 &lt;= A272) * (IF('team lookup'!$B$3:$B$97 = "", 9999, 'team lookup'!$B$3:$B$97) &gt;= A272),
    'team lookup'!$E$3:$E$97,
    "Other"
)</f>
        <v>Other</v>
      </c>
      <c r="E272">
        <f t="shared" si="8"/>
        <v>0</v>
      </c>
      <c r="F272">
        <f t="shared" si="9"/>
        <v>0</v>
      </c>
    </row>
    <row r="273" spans="1:6" x14ac:dyDescent="0.35">
      <c r="A273">
        <v>2015</v>
      </c>
      <c r="B273">
        <v>2261</v>
      </c>
      <c r="C273" t="s">
        <v>71</v>
      </c>
      <c r="D273" t="str" cm="1">
        <f t="array" ref="D273">_xlfn.XLOOKUP(1,
    ('team lookup'!$C$3:$C$97 = B273) * ('team lookup'!$A$3:$A$97 &lt;= A273) * (IF('team lookup'!$B$3:$B$97 = "", 9999, 'team lookup'!$B$3:$B$97) &gt;= A273),
    'team lookup'!$E$3:$E$97,
    "Other"
)</f>
        <v>Other</v>
      </c>
      <c r="E273">
        <f t="shared" si="8"/>
        <v>0</v>
      </c>
      <c r="F273">
        <f t="shared" si="9"/>
        <v>0</v>
      </c>
    </row>
    <row r="274" spans="1:6" x14ac:dyDescent="0.35">
      <c r="A274">
        <v>2015</v>
      </c>
      <c r="B274">
        <v>108</v>
      </c>
      <c r="C274" t="s">
        <v>84</v>
      </c>
      <c r="D274" t="str" cm="1">
        <f t="array" ref="D274">_xlfn.XLOOKUP(1,
    ('team lookup'!$C$3:$C$97 = B274) * ('team lookup'!$A$3:$A$97 &lt;= A274) * (IF('team lookup'!$B$3:$B$97 = "", 9999, 'team lookup'!$B$3:$B$97) &gt;= A274),
    'team lookup'!$E$3:$E$97,
    "Other"
)</f>
        <v>Other</v>
      </c>
      <c r="E274">
        <f t="shared" si="8"/>
        <v>0</v>
      </c>
      <c r="F274">
        <f t="shared" si="9"/>
        <v>0</v>
      </c>
    </row>
    <row r="275" spans="1:6" x14ac:dyDescent="0.35">
      <c r="A275">
        <v>2015</v>
      </c>
      <c r="B275">
        <v>84</v>
      </c>
      <c r="C275" t="s">
        <v>22</v>
      </c>
      <c r="D275" t="str" cm="1">
        <f t="array" ref="D275">_xlfn.XLOOKUP(1,
    ('team lookup'!$C$3:$C$97 = B275) * ('team lookup'!$A$3:$A$97 &lt;= A275) * (IF('team lookup'!$B$3:$B$97 = "", 9999, 'team lookup'!$B$3:$B$97) &gt;= A275),
    'team lookup'!$E$3:$E$97,
    "Other"
)</f>
        <v>Big Ten</v>
      </c>
      <c r="E275">
        <f t="shared" si="8"/>
        <v>0</v>
      </c>
      <c r="F275">
        <f t="shared" si="9"/>
        <v>1</v>
      </c>
    </row>
    <row r="276" spans="1:6" x14ac:dyDescent="0.35">
      <c r="A276">
        <v>2015</v>
      </c>
      <c r="B276">
        <v>2294</v>
      </c>
      <c r="C276" t="s">
        <v>101</v>
      </c>
      <c r="D276" t="str" cm="1">
        <f t="array" ref="D276">_xlfn.XLOOKUP(1,
    ('team lookup'!$C$3:$C$97 = B276) * ('team lookup'!$A$3:$A$97 &lt;= A276) * (IF('team lookup'!$B$3:$B$97 = "", 9999, 'team lookup'!$B$3:$B$97) &gt;= A276),
    'team lookup'!$E$3:$E$97,
    "Other"
)</f>
        <v>Big Ten</v>
      </c>
      <c r="E276">
        <f t="shared" si="8"/>
        <v>0</v>
      </c>
      <c r="F276">
        <f t="shared" si="9"/>
        <v>1</v>
      </c>
    </row>
    <row r="277" spans="1:6" x14ac:dyDescent="0.35">
      <c r="A277">
        <v>2015</v>
      </c>
      <c r="B277">
        <v>66</v>
      </c>
      <c r="C277" t="s">
        <v>86</v>
      </c>
      <c r="D277" t="str" cm="1">
        <f t="array" ref="D277">_xlfn.XLOOKUP(1,
    ('team lookup'!$C$3:$C$97 = B277) * ('team lookup'!$A$3:$A$97 &lt;= A277) * (IF('team lookup'!$B$3:$B$97 = "", 9999, 'team lookup'!$B$3:$B$97) &gt;= A277),
    'team lookup'!$E$3:$E$97,
    "Other"
)</f>
        <v>Big12</v>
      </c>
      <c r="E277">
        <f t="shared" si="8"/>
        <v>1</v>
      </c>
      <c r="F277">
        <f t="shared" si="9"/>
        <v>1</v>
      </c>
    </row>
    <row r="278" spans="1:6" x14ac:dyDescent="0.35">
      <c r="A278">
        <v>2015</v>
      </c>
      <c r="B278">
        <v>2305</v>
      </c>
      <c r="C278" t="s">
        <v>23</v>
      </c>
      <c r="D278" t="str" cm="1">
        <f t="array" ref="D278">_xlfn.XLOOKUP(1,
    ('team lookup'!$C$3:$C$97 = B278) * ('team lookup'!$A$3:$A$97 &lt;= A278) * (IF('team lookup'!$B$3:$B$97 = "", 9999, 'team lookup'!$B$3:$B$97) &gt;= A278),
    'team lookup'!$E$3:$E$97,
    "Other"
)</f>
        <v>Big12</v>
      </c>
      <c r="E278">
        <f t="shared" si="8"/>
        <v>1</v>
      </c>
      <c r="F278">
        <f t="shared" si="9"/>
        <v>1</v>
      </c>
    </row>
    <row r="279" spans="1:6" x14ac:dyDescent="0.35">
      <c r="A279">
        <v>2015</v>
      </c>
      <c r="B279">
        <v>96</v>
      </c>
      <c r="C279" t="s">
        <v>26</v>
      </c>
      <c r="D279" t="str" cm="1">
        <f t="array" ref="D279">_xlfn.XLOOKUP(1,
    ('team lookup'!$C$3:$C$97 = B279) * ('team lookup'!$A$3:$A$97 &lt;= A279) * (IF('team lookup'!$B$3:$B$97 = "", 9999, 'team lookup'!$B$3:$B$97) &gt;= A279),
    'team lookup'!$E$3:$E$97,
    "Other"
)</f>
        <v>SEC</v>
      </c>
      <c r="E279">
        <f t="shared" si="8"/>
        <v>1</v>
      </c>
      <c r="F279">
        <f t="shared" si="9"/>
        <v>1</v>
      </c>
    </row>
    <row r="280" spans="1:6" x14ac:dyDescent="0.35">
      <c r="A280">
        <v>2015</v>
      </c>
      <c r="B280">
        <v>322</v>
      </c>
      <c r="C280" t="s">
        <v>112</v>
      </c>
      <c r="D280" t="str" cm="1">
        <f t="array" ref="D280">_xlfn.XLOOKUP(1,
    ('team lookup'!$C$3:$C$97 = B280) * ('team lookup'!$A$3:$A$97 &lt;= A280) * (IF('team lookup'!$B$3:$B$97 = "", 9999, 'team lookup'!$B$3:$B$97) &gt;= A280),
    'team lookup'!$E$3:$E$97,
    "Other"
)</f>
        <v>Other</v>
      </c>
      <c r="E280">
        <f t="shared" si="8"/>
        <v>0</v>
      </c>
      <c r="F280">
        <f t="shared" si="9"/>
        <v>0</v>
      </c>
    </row>
    <row r="281" spans="1:6" x14ac:dyDescent="0.35">
      <c r="A281">
        <v>2015</v>
      </c>
      <c r="B281">
        <v>97</v>
      </c>
      <c r="C281" t="s">
        <v>27</v>
      </c>
      <c r="D281" t="str" cm="1">
        <f t="array" ref="D281">_xlfn.XLOOKUP(1,
    ('team lookup'!$C$3:$C$97 = B281) * ('team lookup'!$A$3:$A$97 &lt;= A281) * (IF('team lookup'!$B$3:$B$97 = "", 9999, 'team lookup'!$B$3:$B$97) &gt;= A281),
    'team lookup'!$E$3:$E$97,
    "Other"
)</f>
        <v>ACC</v>
      </c>
      <c r="E281">
        <f t="shared" si="8"/>
        <v>1</v>
      </c>
      <c r="F281">
        <f t="shared" si="9"/>
        <v>1</v>
      </c>
    </row>
    <row r="282" spans="1:6" x14ac:dyDescent="0.35">
      <c r="A282">
        <v>2015</v>
      </c>
      <c r="B282">
        <v>99</v>
      </c>
      <c r="C282" t="s">
        <v>50</v>
      </c>
      <c r="D282" t="str" cm="1">
        <f t="array" ref="D282">_xlfn.XLOOKUP(1,
    ('team lookup'!$C$3:$C$97 = B282) * ('team lookup'!$A$3:$A$97 &lt;= A282) * (IF('team lookup'!$B$3:$B$97 = "", 9999, 'team lookup'!$B$3:$B$97) &gt;= A282),
    'team lookup'!$E$3:$E$97,
    "Other"
)</f>
        <v>SEC</v>
      </c>
      <c r="E282">
        <f t="shared" si="8"/>
        <v>1</v>
      </c>
      <c r="F282">
        <f t="shared" si="9"/>
        <v>1</v>
      </c>
    </row>
    <row r="283" spans="1:6" x14ac:dyDescent="0.35">
      <c r="A283">
        <v>2015</v>
      </c>
      <c r="B283">
        <v>2363</v>
      </c>
      <c r="C283" t="s">
        <v>103</v>
      </c>
      <c r="D283" t="str" cm="1">
        <f t="array" ref="D283">_xlfn.XLOOKUP(1,
    ('team lookup'!$C$3:$C$97 = B283) * ('team lookup'!$A$3:$A$97 &lt;= A283) * (IF('team lookup'!$B$3:$B$97 = "", 9999, 'team lookup'!$B$3:$B$97) &gt;= A283),
    'team lookup'!$E$3:$E$97,
    "Other"
)</f>
        <v>Other</v>
      </c>
      <c r="E283">
        <f t="shared" si="8"/>
        <v>0</v>
      </c>
      <c r="F283">
        <f t="shared" si="9"/>
        <v>0</v>
      </c>
    </row>
    <row r="284" spans="1:6" x14ac:dyDescent="0.35">
      <c r="A284">
        <v>2015</v>
      </c>
      <c r="B284">
        <v>120</v>
      </c>
      <c r="C284" t="s">
        <v>51</v>
      </c>
      <c r="D284" t="str" cm="1">
        <f t="array" ref="D284">_xlfn.XLOOKUP(1,
    ('team lookup'!$C$3:$C$97 = B284) * ('team lookup'!$A$3:$A$97 &lt;= A284) * (IF('team lookup'!$B$3:$B$97 = "", 9999, 'team lookup'!$B$3:$B$97) &gt;= A284),
    'team lookup'!$E$3:$E$97,
    "Other"
)</f>
        <v>Big Ten</v>
      </c>
      <c r="E284">
        <f t="shared" si="8"/>
        <v>0</v>
      </c>
      <c r="F284">
        <f t="shared" si="9"/>
        <v>1</v>
      </c>
    </row>
    <row r="285" spans="1:6" x14ac:dyDescent="0.35">
      <c r="A285">
        <v>2015</v>
      </c>
      <c r="B285">
        <v>127</v>
      </c>
      <c r="C285" t="s">
        <v>31</v>
      </c>
      <c r="D285" t="str" cm="1">
        <f t="array" ref="D285">_xlfn.XLOOKUP(1,
    ('team lookup'!$C$3:$C$97 = B285) * ('team lookup'!$A$3:$A$97 &lt;= A285) * (IF('team lookup'!$B$3:$B$97 = "", 9999, 'team lookup'!$B$3:$B$97) &gt;= A285),
    'team lookup'!$E$3:$E$97,
    "Other"
)</f>
        <v>Big Ten</v>
      </c>
      <c r="E285">
        <f t="shared" si="8"/>
        <v>0</v>
      </c>
      <c r="F285">
        <f t="shared" si="9"/>
        <v>1</v>
      </c>
    </row>
    <row r="286" spans="1:6" x14ac:dyDescent="0.35">
      <c r="A286">
        <v>2015</v>
      </c>
      <c r="B286">
        <v>2449</v>
      </c>
      <c r="C286" t="s">
        <v>106</v>
      </c>
      <c r="D286" t="str" cm="1">
        <f t="array" ref="D286">_xlfn.XLOOKUP(1,
    ('team lookup'!$C$3:$C$97 = B286) * ('team lookup'!$A$3:$A$97 &lt;= A286) * (IF('team lookup'!$B$3:$B$97 = "", 9999, 'team lookup'!$B$3:$B$97) &gt;= A286),
    'team lookup'!$E$3:$E$97,
    "Other"
)</f>
        <v>Other</v>
      </c>
      <c r="E286">
        <f t="shared" si="8"/>
        <v>0</v>
      </c>
      <c r="F286">
        <f t="shared" si="9"/>
        <v>0</v>
      </c>
    </row>
    <row r="287" spans="1:6" x14ac:dyDescent="0.35">
      <c r="A287">
        <v>2015</v>
      </c>
      <c r="B287">
        <v>152</v>
      </c>
      <c r="C287" t="s">
        <v>90</v>
      </c>
      <c r="D287" t="str" cm="1">
        <f t="array" ref="D287">_xlfn.XLOOKUP(1,
    ('team lookup'!$C$3:$C$97 = B287) * ('team lookup'!$A$3:$A$97 &lt;= A287) * (IF('team lookup'!$B$3:$B$97 = "", 9999, 'team lookup'!$B$3:$B$97) &gt;= A287),
    'team lookup'!$E$3:$E$97,
    "Other"
)</f>
        <v>ACC</v>
      </c>
      <c r="E287">
        <f t="shared" si="8"/>
        <v>1</v>
      </c>
      <c r="F287">
        <f t="shared" si="9"/>
        <v>1</v>
      </c>
    </row>
    <row r="288" spans="1:6" x14ac:dyDescent="0.35">
      <c r="A288">
        <v>2015</v>
      </c>
      <c r="B288">
        <v>166</v>
      </c>
      <c r="C288" t="s">
        <v>65</v>
      </c>
      <c r="D288" t="str" cm="1">
        <f t="array" ref="D288">_xlfn.XLOOKUP(1,
    ('team lookup'!$C$3:$C$97 = B288) * ('team lookup'!$A$3:$A$97 &lt;= A288) * (IF('team lookup'!$B$3:$B$97 = "", 9999, 'team lookup'!$B$3:$B$97) &gt;= A288),
    'team lookup'!$E$3:$E$97,
    "Other"
)</f>
        <v>Other</v>
      </c>
      <c r="E288">
        <f t="shared" si="8"/>
        <v>0</v>
      </c>
      <c r="F288">
        <f t="shared" si="9"/>
        <v>0</v>
      </c>
    </row>
    <row r="289" spans="1:6" x14ac:dyDescent="0.35">
      <c r="A289">
        <v>2015</v>
      </c>
      <c r="B289">
        <v>153</v>
      </c>
      <c r="C289" t="s">
        <v>35</v>
      </c>
      <c r="D289" t="str" cm="1">
        <f t="array" ref="D289">_xlfn.XLOOKUP(1,
    ('team lookup'!$C$3:$C$97 = B289) * ('team lookup'!$A$3:$A$97 &lt;= A289) * (IF('team lookup'!$B$3:$B$97 = "", 9999, 'team lookup'!$B$3:$B$97) &gt;= A289),
    'team lookup'!$E$3:$E$97,
    "Other"
)</f>
        <v>ACC</v>
      </c>
      <c r="E289">
        <f t="shared" si="8"/>
        <v>1</v>
      </c>
      <c r="F289">
        <f t="shared" si="9"/>
        <v>1</v>
      </c>
    </row>
    <row r="290" spans="1:6" x14ac:dyDescent="0.35">
      <c r="A290">
        <v>2015</v>
      </c>
      <c r="B290">
        <v>2454</v>
      </c>
      <c r="C290" t="s">
        <v>113</v>
      </c>
      <c r="D290" t="str" cm="1">
        <f t="array" ref="D290">_xlfn.XLOOKUP(1,
    ('team lookup'!$C$3:$C$97 = B290) * ('team lookup'!$A$3:$A$97 &lt;= A290) * (IF('team lookup'!$B$3:$B$97 = "", 9999, 'team lookup'!$B$3:$B$97) &gt;= A290),
    'team lookup'!$E$3:$E$97,
    "Other"
)</f>
        <v>Other</v>
      </c>
      <c r="E290">
        <f t="shared" si="8"/>
        <v>0</v>
      </c>
      <c r="F290">
        <f t="shared" si="9"/>
        <v>0</v>
      </c>
    </row>
    <row r="291" spans="1:6" x14ac:dyDescent="0.35">
      <c r="A291">
        <v>2016</v>
      </c>
      <c r="B291">
        <v>12</v>
      </c>
      <c r="C291" t="s">
        <v>4</v>
      </c>
      <c r="D291" t="str" cm="1">
        <f t="array" ref="D291">_xlfn.XLOOKUP(1,
    ('team lookup'!$C$3:$C$97 = B291) * ('team lookup'!$A$3:$A$97 &lt;= A291) * (IF('team lookup'!$B$3:$B$97 = "", 9999, 'team lookup'!$B$3:$B$97) &gt;= A291),
    'team lookup'!$E$3:$E$97,
    "Other"
)</f>
        <v>Other</v>
      </c>
      <c r="E291">
        <f t="shared" si="8"/>
        <v>0</v>
      </c>
      <c r="F291">
        <f t="shared" si="9"/>
        <v>0</v>
      </c>
    </row>
    <row r="292" spans="1:6" x14ac:dyDescent="0.35">
      <c r="A292">
        <v>2016</v>
      </c>
      <c r="B292">
        <v>2046</v>
      </c>
      <c r="C292" t="s">
        <v>6</v>
      </c>
      <c r="D292" t="str" cm="1">
        <f t="array" ref="D292">_xlfn.XLOOKUP(1,
    ('team lookup'!$C$3:$C$97 = B292) * ('team lookup'!$A$3:$A$97 &lt;= A292) * (IF('team lookup'!$B$3:$B$97 = "", 9999, 'team lookup'!$B$3:$B$97) &gt;= A292),
    'team lookup'!$E$3:$E$97,
    "Other"
)</f>
        <v>Other</v>
      </c>
      <c r="E292">
        <f t="shared" si="8"/>
        <v>0</v>
      </c>
      <c r="F292">
        <f t="shared" si="9"/>
        <v>0</v>
      </c>
    </row>
    <row r="293" spans="1:6" x14ac:dyDescent="0.35">
      <c r="A293">
        <v>2016</v>
      </c>
      <c r="B293">
        <v>2934</v>
      </c>
      <c r="C293" t="s">
        <v>114</v>
      </c>
      <c r="D293" t="str" cm="1">
        <f t="array" ref="D293">_xlfn.XLOOKUP(1,
    ('team lookup'!$C$3:$C$97 = B293) * ('team lookup'!$A$3:$A$97 &lt;= A293) * (IF('team lookup'!$B$3:$B$97 = "", 9999, 'team lookup'!$B$3:$B$97) &gt;= A293),
    'team lookup'!$E$3:$E$97,
    "Other"
)</f>
        <v>Other</v>
      </c>
      <c r="E293">
        <f t="shared" si="8"/>
        <v>0</v>
      </c>
      <c r="F293">
        <f t="shared" si="9"/>
        <v>0</v>
      </c>
    </row>
    <row r="294" spans="1:6" x14ac:dyDescent="0.35">
      <c r="A294">
        <v>2016</v>
      </c>
      <c r="B294">
        <v>239</v>
      </c>
      <c r="C294" t="s">
        <v>7</v>
      </c>
      <c r="D294" t="str" cm="1">
        <f t="array" ref="D294">_xlfn.XLOOKUP(1,
    ('team lookup'!$C$3:$C$97 = B294) * ('team lookup'!$A$3:$A$97 &lt;= A294) * (IF('team lookup'!$B$3:$B$97 = "", 9999, 'team lookup'!$B$3:$B$97) &gt;= A294),
    'team lookup'!$E$3:$E$97,
    "Other"
)</f>
        <v>Big12</v>
      </c>
      <c r="E294">
        <f t="shared" si="8"/>
        <v>1</v>
      </c>
      <c r="F294">
        <f t="shared" si="9"/>
        <v>1</v>
      </c>
    </row>
    <row r="295" spans="1:6" x14ac:dyDescent="0.35">
      <c r="A295">
        <v>2016</v>
      </c>
      <c r="B295">
        <v>2084</v>
      </c>
      <c r="C295" t="s">
        <v>109</v>
      </c>
      <c r="D295" t="str" cm="1">
        <f t="array" ref="D295">_xlfn.XLOOKUP(1,
    ('team lookup'!$C$3:$C$97 = B295) * ('team lookup'!$A$3:$A$97 &lt;= A295) * (IF('team lookup'!$B$3:$B$97 = "", 9999, 'team lookup'!$B$3:$B$97) &gt;= A295),
    'team lookup'!$E$3:$E$97,
    "Other"
)</f>
        <v>Other</v>
      </c>
      <c r="E295">
        <f t="shared" si="8"/>
        <v>0</v>
      </c>
      <c r="F295">
        <f t="shared" si="9"/>
        <v>0</v>
      </c>
    </row>
    <row r="296" spans="1:6" x14ac:dyDescent="0.35">
      <c r="A296">
        <v>2016</v>
      </c>
      <c r="B296">
        <v>2086</v>
      </c>
      <c r="C296" t="s">
        <v>10</v>
      </c>
      <c r="D296" t="str" cm="1">
        <f t="array" ref="D296">_xlfn.XLOOKUP(1,
    ('team lookup'!$C$3:$C$97 = B296) * ('team lookup'!$A$3:$A$97 &lt;= A296) * (IF('team lookup'!$B$3:$B$97 = "", 9999, 'team lookup'!$B$3:$B$97) &gt;= A296),
    'team lookup'!$E$3:$E$97,
    "Other"
)</f>
        <v>Big East</v>
      </c>
      <c r="E296">
        <f t="shared" si="8"/>
        <v>0</v>
      </c>
      <c r="F296">
        <f t="shared" si="9"/>
        <v>1</v>
      </c>
    </row>
    <row r="297" spans="1:6" x14ac:dyDescent="0.35">
      <c r="A297">
        <v>2016</v>
      </c>
      <c r="B297">
        <v>25</v>
      </c>
      <c r="C297" t="s">
        <v>42</v>
      </c>
      <c r="D297" t="str" cm="1">
        <f t="array" ref="D297">_xlfn.XLOOKUP(1,
    ('team lookup'!$C$3:$C$97 = B297) * ('team lookup'!$A$3:$A$97 &lt;= A297) * (IF('team lookup'!$B$3:$B$97 = "", 9999, 'team lookup'!$B$3:$B$97) &gt;= A297),
    'team lookup'!$E$3:$E$97,
    "Other"
)</f>
        <v>Other</v>
      </c>
      <c r="E297">
        <f t="shared" si="8"/>
        <v>0</v>
      </c>
      <c r="F297">
        <f t="shared" si="9"/>
        <v>0</v>
      </c>
    </row>
    <row r="298" spans="1:6" x14ac:dyDescent="0.35">
      <c r="A298">
        <v>2016</v>
      </c>
      <c r="B298">
        <v>236</v>
      </c>
      <c r="C298" t="s">
        <v>43</v>
      </c>
      <c r="D298" t="str" cm="1">
        <f t="array" ref="D298">_xlfn.XLOOKUP(1,
    ('team lookup'!$C$3:$C$97 = B298) * ('team lookup'!$A$3:$A$97 &lt;= A298) * (IF('team lookup'!$B$3:$B$97 = "", 9999, 'team lookup'!$B$3:$B$97) &gt;= A298),
    'team lookup'!$E$3:$E$97,
    "Other"
)</f>
        <v>Other</v>
      </c>
      <c r="E298">
        <f t="shared" si="8"/>
        <v>0</v>
      </c>
      <c r="F298">
        <f t="shared" si="9"/>
        <v>0</v>
      </c>
    </row>
    <row r="299" spans="1:6" x14ac:dyDescent="0.35">
      <c r="A299">
        <v>2016</v>
      </c>
      <c r="B299">
        <v>2132</v>
      </c>
      <c r="C299" t="s">
        <v>70</v>
      </c>
      <c r="D299" t="str" cm="1">
        <f t="array" ref="D299">_xlfn.XLOOKUP(1,
    ('team lookup'!$C$3:$C$97 = B299) * ('team lookup'!$A$3:$A$97 &lt;= A299) * (IF('team lookup'!$B$3:$B$97 = "", 9999, 'team lookup'!$B$3:$B$97) &gt;= A299),
    'team lookup'!$E$3:$E$97,
    "Other"
)</f>
        <v>Other</v>
      </c>
      <c r="E299">
        <f t="shared" si="8"/>
        <v>0</v>
      </c>
      <c r="F299">
        <f t="shared" si="9"/>
        <v>0</v>
      </c>
    </row>
    <row r="300" spans="1:6" x14ac:dyDescent="0.35">
      <c r="A300">
        <v>2016</v>
      </c>
      <c r="B300">
        <v>38</v>
      </c>
      <c r="C300" t="s">
        <v>80</v>
      </c>
      <c r="D300" t="str" cm="1">
        <f t="array" ref="D300">_xlfn.XLOOKUP(1,
    ('team lookup'!$C$3:$C$97 = B300) * ('team lookup'!$A$3:$A$97 &lt;= A300) * (IF('team lookup'!$B$3:$B$97 = "", 9999, 'team lookup'!$B$3:$B$97) &gt;= A300),
    'team lookup'!$E$3:$E$97,
    "Other"
)</f>
        <v>Other</v>
      </c>
      <c r="E300">
        <f t="shared" si="8"/>
        <v>0</v>
      </c>
      <c r="F300">
        <f t="shared" si="9"/>
        <v>0</v>
      </c>
    </row>
    <row r="301" spans="1:6" x14ac:dyDescent="0.35">
      <c r="A301">
        <v>2016</v>
      </c>
      <c r="B301">
        <v>2168</v>
      </c>
      <c r="C301" t="s">
        <v>46</v>
      </c>
      <c r="D301" t="str" cm="1">
        <f t="array" ref="D301">_xlfn.XLOOKUP(1,
    ('team lookup'!$C$3:$C$97 = B301) * ('team lookup'!$A$3:$A$97 &lt;= A301) * (IF('team lookup'!$B$3:$B$97 = "", 9999, 'team lookup'!$B$3:$B$97) &gt;= A301),
    'team lookup'!$E$3:$E$97,
    "Other"
)</f>
        <v>Other</v>
      </c>
      <c r="E301">
        <f t="shared" si="8"/>
        <v>0</v>
      </c>
      <c r="F301">
        <f t="shared" si="9"/>
        <v>0</v>
      </c>
    </row>
    <row r="302" spans="1:6" x14ac:dyDescent="0.35">
      <c r="A302">
        <v>2016</v>
      </c>
      <c r="B302">
        <v>150</v>
      </c>
      <c r="C302" t="s">
        <v>16</v>
      </c>
      <c r="D302" t="str" cm="1">
        <f t="array" ref="D302">_xlfn.XLOOKUP(1,
    ('team lookup'!$C$3:$C$97 = B302) * ('team lookup'!$A$3:$A$97 &lt;= A302) * (IF('team lookup'!$B$3:$B$97 = "", 9999, 'team lookup'!$B$3:$B$97) &gt;= A302),
    'team lookup'!$E$3:$E$97,
    "Other"
)</f>
        <v>ACC</v>
      </c>
      <c r="E302">
        <f t="shared" si="8"/>
        <v>1</v>
      </c>
      <c r="F302">
        <f t="shared" si="9"/>
        <v>1</v>
      </c>
    </row>
    <row r="303" spans="1:6" x14ac:dyDescent="0.35">
      <c r="A303">
        <v>2016</v>
      </c>
      <c r="B303">
        <v>161</v>
      </c>
      <c r="C303" t="s">
        <v>115</v>
      </c>
      <c r="D303" t="str" cm="1">
        <f t="array" ref="D303">_xlfn.XLOOKUP(1,
    ('team lookup'!$C$3:$C$97 = B303) * ('team lookup'!$A$3:$A$97 &lt;= A303) * (IF('team lookup'!$B$3:$B$97 = "", 9999, 'team lookup'!$B$3:$B$97) &gt;= A303),
    'team lookup'!$E$3:$E$97,
    "Other"
)</f>
        <v>Other</v>
      </c>
      <c r="E303">
        <f t="shared" si="8"/>
        <v>0</v>
      </c>
      <c r="F303">
        <f t="shared" si="9"/>
        <v>0</v>
      </c>
    </row>
    <row r="304" spans="1:6" x14ac:dyDescent="0.35">
      <c r="A304">
        <v>2016</v>
      </c>
      <c r="B304">
        <v>526</v>
      </c>
      <c r="C304" t="s">
        <v>92</v>
      </c>
      <c r="D304" t="str" cm="1">
        <f t="array" ref="D304">_xlfn.XLOOKUP(1,
    ('team lookup'!$C$3:$C$97 = B304) * ('team lookup'!$A$3:$A$97 &lt;= A304) * (IF('team lookup'!$B$3:$B$97 = "", 9999, 'team lookup'!$B$3:$B$97) &gt;= A304),
    'team lookup'!$E$3:$E$97,
    "Other"
)</f>
        <v>Other</v>
      </c>
      <c r="E304">
        <f t="shared" si="8"/>
        <v>0</v>
      </c>
      <c r="F304">
        <f t="shared" si="9"/>
        <v>0</v>
      </c>
    </row>
    <row r="305" spans="1:6" x14ac:dyDescent="0.35">
      <c r="A305">
        <v>2016</v>
      </c>
      <c r="B305">
        <v>278</v>
      </c>
      <c r="C305" t="s">
        <v>116</v>
      </c>
      <c r="D305" t="str" cm="1">
        <f t="array" ref="D305">_xlfn.XLOOKUP(1,
    ('team lookup'!$C$3:$C$97 = B305) * ('team lookup'!$A$3:$A$97 &lt;= A305) * (IF('team lookup'!$B$3:$B$97 = "", 9999, 'team lookup'!$B$3:$B$97) &gt;= A305),
    'team lookup'!$E$3:$E$97,
    "Other"
)</f>
        <v>Other</v>
      </c>
      <c r="E305">
        <f t="shared" si="8"/>
        <v>0</v>
      </c>
      <c r="F305">
        <f t="shared" si="9"/>
        <v>0</v>
      </c>
    </row>
    <row r="306" spans="1:6" x14ac:dyDescent="0.35">
      <c r="A306">
        <v>2016</v>
      </c>
      <c r="B306">
        <v>2250</v>
      </c>
      <c r="C306" t="s">
        <v>21</v>
      </c>
      <c r="D306" t="str" cm="1">
        <f t="array" ref="D306">_xlfn.XLOOKUP(1,
    ('team lookup'!$C$3:$C$97 = B306) * ('team lookup'!$A$3:$A$97 &lt;= A306) * (IF('team lookup'!$B$3:$B$97 = "", 9999, 'team lookup'!$B$3:$B$97) &gt;= A306),
    'team lookup'!$E$3:$E$97,
    "Other"
)</f>
        <v>Other</v>
      </c>
      <c r="E306">
        <f t="shared" si="8"/>
        <v>0</v>
      </c>
      <c r="F306">
        <f t="shared" si="9"/>
        <v>0</v>
      </c>
    </row>
    <row r="307" spans="1:6" x14ac:dyDescent="0.35">
      <c r="A307">
        <v>2016</v>
      </c>
      <c r="B307">
        <v>2739</v>
      </c>
      <c r="C307" t="s">
        <v>117</v>
      </c>
      <c r="D307" t="str" cm="1">
        <f t="array" ref="D307">_xlfn.XLOOKUP(1,
    ('team lookup'!$C$3:$C$97 = B307) * ('team lookup'!$A$3:$A$97 &lt;= A307) * (IF('team lookup'!$B$3:$B$97 = "", 9999, 'team lookup'!$B$3:$B$97) &gt;= A307),
    'team lookup'!$E$3:$E$97,
    "Other"
)</f>
        <v>Other</v>
      </c>
      <c r="E307">
        <f t="shared" si="8"/>
        <v>0</v>
      </c>
      <c r="F307">
        <f t="shared" si="9"/>
        <v>0</v>
      </c>
    </row>
    <row r="308" spans="1:6" x14ac:dyDescent="0.35">
      <c r="A308">
        <v>2016</v>
      </c>
      <c r="B308">
        <v>2261</v>
      </c>
      <c r="C308" t="s">
        <v>71</v>
      </c>
      <c r="D308" t="str" cm="1">
        <f t="array" ref="D308">_xlfn.XLOOKUP(1,
    ('team lookup'!$C$3:$C$97 = B308) * ('team lookup'!$A$3:$A$97 &lt;= A308) * (IF('team lookup'!$B$3:$B$97 = "", 9999, 'team lookup'!$B$3:$B$97) &gt;= A308),
    'team lookup'!$E$3:$E$97,
    "Other"
)</f>
        <v>Other</v>
      </c>
      <c r="E308">
        <f t="shared" si="8"/>
        <v>0</v>
      </c>
      <c r="F308">
        <f t="shared" si="9"/>
        <v>0</v>
      </c>
    </row>
    <row r="309" spans="1:6" x14ac:dyDescent="0.35">
      <c r="A309">
        <v>2016</v>
      </c>
      <c r="B309">
        <v>62</v>
      </c>
      <c r="C309" t="s">
        <v>118</v>
      </c>
      <c r="D309" t="str" cm="1">
        <f t="array" ref="D309">_xlfn.XLOOKUP(1,
    ('team lookup'!$C$3:$C$97 = B309) * ('team lookup'!$A$3:$A$97 &lt;= A309) * (IF('team lookup'!$B$3:$B$97 = "", 9999, 'team lookup'!$B$3:$B$97) &gt;= A309),
    'team lookup'!$E$3:$E$97,
    "Other"
)</f>
        <v>Other</v>
      </c>
      <c r="E309">
        <f t="shared" si="8"/>
        <v>0</v>
      </c>
      <c r="F309">
        <f t="shared" si="9"/>
        <v>0</v>
      </c>
    </row>
    <row r="310" spans="1:6" x14ac:dyDescent="0.35">
      <c r="A310">
        <v>2016</v>
      </c>
      <c r="B310">
        <v>107</v>
      </c>
      <c r="C310" t="s">
        <v>119</v>
      </c>
      <c r="D310" t="str" cm="1">
        <f t="array" ref="D310">_xlfn.XLOOKUP(1,
    ('team lookup'!$C$3:$C$97 = B310) * ('team lookup'!$A$3:$A$97 &lt;= A310) * (IF('team lookup'!$B$3:$B$97 = "", 9999, 'team lookup'!$B$3:$B$97) &gt;= A310),
    'team lookup'!$E$3:$E$97,
    "Other"
)</f>
        <v>Other</v>
      </c>
      <c r="E310">
        <f t="shared" si="8"/>
        <v>0</v>
      </c>
      <c r="F310">
        <f t="shared" si="9"/>
        <v>0</v>
      </c>
    </row>
    <row r="311" spans="1:6" x14ac:dyDescent="0.35">
      <c r="A311">
        <v>2016</v>
      </c>
      <c r="B311">
        <v>84</v>
      </c>
      <c r="C311" t="s">
        <v>22</v>
      </c>
      <c r="D311" t="str" cm="1">
        <f t="array" ref="D311">_xlfn.XLOOKUP(1,
    ('team lookup'!$C$3:$C$97 = B311) * ('team lookup'!$A$3:$A$97 &lt;= A311) * (IF('team lookup'!$B$3:$B$97 = "", 9999, 'team lookup'!$B$3:$B$97) &gt;= A311),
    'team lookup'!$E$3:$E$97,
    "Other"
)</f>
        <v>Big Ten</v>
      </c>
      <c r="E311">
        <f t="shared" si="8"/>
        <v>0</v>
      </c>
      <c r="F311">
        <f t="shared" si="9"/>
        <v>1</v>
      </c>
    </row>
    <row r="312" spans="1:6" x14ac:dyDescent="0.35">
      <c r="A312">
        <v>2016</v>
      </c>
      <c r="B312">
        <v>314</v>
      </c>
      <c r="C312" t="s">
        <v>85</v>
      </c>
      <c r="D312" t="str" cm="1">
        <f t="array" ref="D312">_xlfn.XLOOKUP(1,
    ('team lookup'!$C$3:$C$97 = B312) * ('team lookup'!$A$3:$A$97 &lt;= A312) * (IF('team lookup'!$B$3:$B$97 = "", 9999, 'team lookup'!$B$3:$B$97) &gt;= A312),
    'team lookup'!$E$3:$E$97,
    "Other"
)</f>
        <v>Other</v>
      </c>
      <c r="E312">
        <f t="shared" si="8"/>
        <v>0</v>
      </c>
      <c r="F312">
        <f t="shared" si="9"/>
        <v>0</v>
      </c>
    </row>
    <row r="313" spans="1:6" x14ac:dyDescent="0.35">
      <c r="A313">
        <v>2016</v>
      </c>
      <c r="B313">
        <v>2294</v>
      </c>
      <c r="C313" t="s">
        <v>101</v>
      </c>
      <c r="D313" t="str" cm="1">
        <f t="array" ref="D313">_xlfn.XLOOKUP(1,
    ('team lookup'!$C$3:$C$97 = B313) * ('team lookup'!$A$3:$A$97 &lt;= A313) * (IF('team lookup'!$B$3:$B$97 = "", 9999, 'team lookup'!$B$3:$B$97) &gt;= A313),
    'team lookup'!$E$3:$E$97,
    "Other"
)</f>
        <v>Big Ten</v>
      </c>
      <c r="E313">
        <f t="shared" si="8"/>
        <v>0</v>
      </c>
      <c r="F313">
        <f t="shared" si="9"/>
        <v>1</v>
      </c>
    </row>
    <row r="314" spans="1:6" x14ac:dyDescent="0.35">
      <c r="A314">
        <v>2016</v>
      </c>
      <c r="B314">
        <v>66</v>
      </c>
      <c r="C314" t="s">
        <v>86</v>
      </c>
      <c r="D314" t="str" cm="1">
        <f t="array" ref="D314">_xlfn.XLOOKUP(1,
    ('team lookup'!$C$3:$C$97 = B314) * ('team lookup'!$A$3:$A$97 &lt;= A314) * (IF('team lookup'!$B$3:$B$97 = "", 9999, 'team lookup'!$B$3:$B$97) &gt;= A314),
    'team lookup'!$E$3:$E$97,
    "Other"
)</f>
        <v>Big12</v>
      </c>
      <c r="E314">
        <f t="shared" si="8"/>
        <v>1</v>
      </c>
      <c r="F314">
        <f t="shared" si="9"/>
        <v>1</v>
      </c>
    </row>
    <row r="315" spans="1:6" x14ac:dyDescent="0.35">
      <c r="A315">
        <v>2016</v>
      </c>
      <c r="B315">
        <v>2305</v>
      </c>
      <c r="C315" t="s">
        <v>23</v>
      </c>
      <c r="D315" t="str" cm="1">
        <f t="array" ref="D315">_xlfn.XLOOKUP(1,
    ('team lookup'!$C$3:$C$97 = B315) * ('team lookup'!$A$3:$A$97 &lt;= A315) * (IF('team lookup'!$B$3:$B$97 = "", 9999, 'team lookup'!$B$3:$B$97) &gt;= A315),
    'team lookup'!$E$3:$E$97,
    "Other"
)</f>
        <v>Big12</v>
      </c>
      <c r="E315">
        <f t="shared" si="8"/>
        <v>1</v>
      </c>
      <c r="F315">
        <f t="shared" si="9"/>
        <v>1</v>
      </c>
    </row>
    <row r="316" spans="1:6" x14ac:dyDescent="0.35">
      <c r="A316">
        <v>2016</v>
      </c>
      <c r="B316">
        <v>96</v>
      </c>
      <c r="C316" t="s">
        <v>26</v>
      </c>
      <c r="D316" t="str" cm="1">
        <f t="array" ref="D316">_xlfn.XLOOKUP(1,
    ('team lookup'!$C$3:$C$97 = B316) * ('team lookup'!$A$3:$A$97 &lt;= A316) * (IF('team lookup'!$B$3:$B$97 = "", 9999, 'team lookup'!$B$3:$B$97) &gt;= A316),
    'team lookup'!$E$3:$E$97,
    "Other"
)</f>
        <v>SEC</v>
      </c>
      <c r="E316">
        <f t="shared" si="8"/>
        <v>1</v>
      </c>
      <c r="F316">
        <f t="shared" si="9"/>
        <v>1</v>
      </c>
    </row>
    <row r="317" spans="1:6" x14ac:dyDescent="0.35">
      <c r="A317">
        <v>2016</v>
      </c>
      <c r="B317">
        <v>2031</v>
      </c>
      <c r="C317" t="s">
        <v>73</v>
      </c>
      <c r="D317" t="str" cm="1">
        <f t="array" ref="D317">_xlfn.XLOOKUP(1,
    ('team lookup'!$C$3:$C$97 = B317) * ('team lookup'!$A$3:$A$97 &lt;= A317) * (IF('team lookup'!$B$3:$B$97 = "", 9999, 'team lookup'!$B$3:$B$97) &gt;= A317),
    'team lookup'!$E$3:$E$97,
    "Other"
)</f>
        <v>Other</v>
      </c>
      <c r="E317">
        <f t="shared" si="8"/>
        <v>0</v>
      </c>
      <c r="F317">
        <f t="shared" si="9"/>
        <v>0</v>
      </c>
    </row>
    <row r="318" spans="1:6" x14ac:dyDescent="0.35">
      <c r="A318">
        <v>2016</v>
      </c>
      <c r="B318">
        <v>120</v>
      </c>
      <c r="C318" t="s">
        <v>51</v>
      </c>
      <c r="D318" t="str" cm="1">
        <f t="array" ref="D318">_xlfn.XLOOKUP(1,
    ('team lookup'!$C$3:$C$97 = B318) * ('team lookup'!$A$3:$A$97 &lt;= A318) * (IF('team lookup'!$B$3:$B$97 = "", 9999, 'team lookup'!$B$3:$B$97) &gt;= A318),
    'team lookup'!$E$3:$E$97,
    "Other"
)</f>
        <v>Big Ten</v>
      </c>
      <c r="E318">
        <f t="shared" si="8"/>
        <v>0</v>
      </c>
      <c r="F318">
        <f t="shared" si="9"/>
        <v>1</v>
      </c>
    </row>
    <row r="319" spans="1:6" x14ac:dyDescent="0.35">
      <c r="A319">
        <v>2016</v>
      </c>
      <c r="B319">
        <v>2390</v>
      </c>
      <c r="C319" t="s">
        <v>30</v>
      </c>
      <c r="D319" t="str" cm="1">
        <f t="array" ref="D319">_xlfn.XLOOKUP(1,
    ('team lookup'!$C$3:$C$97 = B319) * ('team lookup'!$A$3:$A$97 &lt;= A319) * (IF('team lookup'!$B$3:$B$97 = "", 9999, 'team lookup'!$B$3:$B$97) &gt;= A319),
    'team lookup'!$E$3:$E$97,
    "Other"
)</f>
        <v>ACC</v>
      </c>
      <c r="E319">
        <f t="shared" si="8"/>
        <v>1</v>
      </c>
      <c r="F319">
        <f t="shared" si="9"/>
        <v>1</v>
      </c>
    </row>
    <row r="320" spans="1:6" x14ac:dyDescent="0.35">
      <c r="A320">
        <v>2016</v>
      </c>
      <c r="B320">
        <v>130</v>
      </c>
      <c r="C320" t="s">
        <v>52</v>
      </c>
      <c r="D320" t="str" cm="1">
        <f t="array" ref="D320">_xlfn.XLOOKUP(1,
    ('team lookup'!$C$3:$C$97 = B320) * ('team lookup'!$A$3:$A$97 &lt;= A320) * (IF('team lookup'!$B$3:$B$97 = "", 9999, 'team lookup'!$B$3:$B$97) &gt;= A320),
    'team lookup'!$E$3:$E$97,
    "Other"
)</f>
        <v>Big Ten</v>
      </c>
      <c r="E320">
        <f t="shared" si="8"/>
        <v>0</v>
      </c>
      <c r="F320">
        <f t="shared" si="9"/>
        <v>1</v>
      </c>
    </row>
    <row r="321" spans="1:6" x14ac:dyDescent="0.35">
      <c r="A321">
        <v>2016</v>
      </c>
      <c r="B321">
        <v>127</v>
      </c>
      <c r="C321" t="s">
        <v>31</v>
      </c>
      <c r="D321" t="str" cm="1">
        <f t="array" ref="D321">_xlfn.XLOOKUP(1,
    ('team lookup'!$C$3:$C$97 = B321) * ('team lookup'!$A$3:$A$97 &lt;= A321) * (IF('team lookup'!$B$3:$B$97 = "", 9999, 'team lookup'!$B$3:$B$97) &gt;= A321),
    'team lookup'!$E$3:$E$97,
    "Other"
)</f>
        <v>Big Ten</v>
      </c>
      <c r="E321">
        <f t="shared" si="8"/>
        <v>0</v>
      </c>
      <c r="F321">
        <f t="shared" si="9"/>
        <v>1</v>
      </c>
    </row>
    <row r="322" spans="1:6" x14ac:dyDescent="0.35">
      <c r="A322">
        <v>2016</v>
      </c>
      <c r="B322">
        <v>2393</v>
      </c>
      <c r="C322" t="s">
        <v>120</v>
      </c>
      <c r="D322" t="str" cm="1">
        <f t="array" ref="D322">_xlfn.XLOOKUP(1,
    ('team lookup'!$C$3:$C$97 = B322) * ('team lookup'!$A$3:$A$97 &lt;= A322) * (IF('team lookup'!$B$3:$B$97 = "", 9999, 'team lookup'!$B$3:$B$97) &gt;= A322),
    'team lookup'!$E$3:$E$97,
    "Other"
)</f>
        <v>Other</v>
      </c>
      <c r="E322">
        <f t="shared" si="8"/>
        <v>0</v>
      </c>
      <c r="F322">
        <f t="shared" si="9"/>
        <v>0</v>
      </c>
    </row>
    <row r="323" spans="1:6" x14ac:dyDescent="0.35">
      <c r="A323">
        <v>2016</v>
      </c>
      <c r="B323">
        <v>153</v>
      </c>
      <c r="C323" t="s">
        <v>35</v>
      </c>
      <c r="D323" t="str" cm="1">
        <f t="array" ref="D323">_xlfn.XLOOKUP(1,
    ('team lookup'!$C$3:$C$97 = B323) * ('team lookup'!$A$3:$A$97 &lt;= A323) * (IF('team lookup'!$B$3:$B$97 = "", 9999, 'team lookup'!$B$3:$B$97) &gt;= A323),
    'team lookup'!$E$3:$E$97,
    "Other"
)</f>
        <v>ACC</v>
      </c>
      <c r="E323">
        <f t="shared" ref="E323:E386" si="10">IF(OR(D323="ACC", D323="SEC", D323="Big12"), 1,0)</f>
        <v>1</v>
      </c>
      <c r="F323">
        <f t="shared" ref="F323:F386" si="11">IF(D323&lt;&gt;"Other", 1,0)</f>
        <v>1</v>
      </c>
    </row>
    <row r="324" spans="1:6" x14ac:dyDescent="0.35">
      <c r="A324">
        <v>2016</v>
      </c>
      <c r="B324">
        <v>2460</v>
      </c>
      <c r="C324" t="s">
        <v>67</v>
      </c>
      <c r="D324" t="str" cm="1">
        <f t="array" ref="D324">_xlfn.XLOOKUP(1,
    ('team lookup'!$C$3:$C$97 = B324) * ('team lookup'!$A$3:$A$97 &lt;= A324) * (IF('team lookup'!$B$3:$B$97 = "", 9999, 'team lookup'!$B$3:$B$97) &gt;= A324),
    'team lookup'!$E$3:$E$97,
    "Other"
)</f>
        <v>Other</v>
      </c>
      <c r="E324">
        <f t="shared" si="10"/>
        <v>0</v>
      </c>
      <c r="F324">
        <f t="shared" si="11"/>
        <v>0</v>
      </c>
    </row>
    <row r="325" spans="1:6" x14ac:dyDescent="0.35">
      <c r="A325">
        <v>2016</v>
      </c>
      <c r="B325">
        <v>87</v>
      </c>
      <c r="C325" t="s">
        <v>36</v>
      </c>
      <c r="D325" t="str" cm="1">
        <f t="array" ref="D325">_xlfn.XLOOKUP(1,
    ('team lookup'!$C$3:$C$97 = B325) * ('team lookup'!$A$3:$A$97 &lt;= A325) * (IF('team lookup'!$B$3:$B$97 = "", 9999, 'team lookup'!$B$3:$B$97) &gt;= A325),
    'team lookup'!$E$3:$E$97,
    "Other"
)</f>
        <v>ACC</v>
      </c>
      <c r="E325">
        <f t="shared" si="10"/>
        <v>1</v>
      </c>
      <c r="F325">
        <f t="shared" si="11"/>
        <v>1</v>
      </c>
    </row>
    <row r="326" spans="1:6" x14ac:dyDescent="0.35">
      <c r="A326">
        <v>2016</v>
      </c>
      <c r="B326">
        <v>201</v>
      </c>
      <c r="C326" t="s">
        <v>121</v>
      </c>
      <c r="D326" t="str" cm="1">
        <f t="array" ref="D326">_xlfn.XLOOKUP(1,
    ('team lookup'!$C$3:$C$97 = B326) * ('team lookup'!$A$3:$A$97 &lt;= A326) * (IF('team lookup'!$B$3:$B$97 = "", 9999, 'team lookup'!$B$3:$B$97) &gt;= A326),
    'team lookup'!$E$3:$E$97,
    "Other"
)</f>
        <v>Big12</v>
      </c>
      <c r="E326">
        <f t="shared" si="10"/>
        <v>1</v>
      </c>
      <c r="F326">
        <f t="shared" si="11"/>
        <v>1</v>
      </c>
    </row>
    <row r="327" spans="1:6" x14ac:dyDescent="0.35">
      <c r="A327">
        <v>2016</v>
      </c>
      <c r="B327">
        <v>2483</v>
      </c>
      <c r="C327" t="s">
        <v>122</v>
      </c>
      <c r="D327" t="str" cm="1">
        <f t="array" ref="D327">_xlfn.XLOOKUP(1,
    ('team lookup'!$C$3:$C$97 = B327) * ('team lookup'!$A$3:$A$97 &lt;= A327) * (IF('team lookup'!$B$3:$B$97 = "", 9999, 'team lookup'!$B$3:$B$97) &gt;= A327),
    'team lookup'!$E$3:$E$97,
    "Other"
)</f>
        <v>Other</v>
      </c>
      <c r="E327">
        <f t="shared" si="10"/>
        <v>0</v>
      </c>
      <c r="F327">
        <f t="shared" si="11"/>
        <v>0</v>
      </c>
    </row>
    <row r="328" spans="1:6" x14ac:dyDescent="0.35">
      <c r="A328">
        <v>2017</v>
      </c>
      <c r="B328">
        <v>12</v>
      </c>
      <c r="C328" t="s">
        <v>4</v>
      </c>
      <c r="D328" t="str" cm="1">
        <f t="array" ref="D328">_xlfn.XLOOKUP(1,
    ('team lookup'!$C$3:$C$97 = B328) * ('team lookup'!$A$3:$A$97 &lt;= A328) * (IF('team lookup'!$B$3:$B$97 = "", 9999, 'team lookup'!$B$3:$B$97) &gt;= A328),
    'team lookup'!$E$3:$E$97,
    "Other"
)</f>
        <v>Other</v>
      </c>
      <c r="E328">
        <f t="shared" si="10"/>
        <v>0</v>
      </c>
      <c r="F328">
        <f t="shared" si="11"/>
        <v>0</v>
      </c>
    </row>
    <row r="329" spans="1:6" x14ac:dyDescent="0.35">
      <c r="A329">
        <v>2017</v>
      </c>
      <c r="B329">
        <v>8</v>
      </c>
      <c r="C329" t="s">
        <v>5</v>
      </c>
      <c r="D329" t="str" cm="1">
        <f t="array" ref="D329">_xlfn.XLOOKUP(1,
    ('team lookup'!$C$3:$C$97 = B329) * ('team lookup'!$A$3:$A$97 &lt;= A329) * (IF('team lookup'!$B$3:$B$97 = "", 9999, 'team lookup'!$B$3:$B$97) &gt;= A329),
    'team lookup'!$E$3:$E$97,
    "Other"
)</f>
        <v>SEC</v>
      </c>
      <c r="E329">
        <f t="shared" si="10"/>
        <v>1</v>
      </c>
      <c r="F329">
        <f t="shared" si="11"/>
        <v>1</v>
      </c>
    </row>
    <row r="330" spans="1:6" x14ac:dyDescent="0.35">
      <c r="A330">
        <v>2017</v>
      </c>
      <c r="B330">
        <v>239</v>
      </c>
      <c r="C330" t="s">
        <v>7</v>
      </c>
      <c r="D330" t="str" cm="1">
        <f t="array" ref="D330">_xlfn.XLOOKUP(1,
    ('team lookup'!$C$3:$C$97 = B330) * ('team lookup'!$A$3:$A$97 &lt;= A330) * (IF('team lookup'!$B$3:$B$97 = "", 9999, 'team lookup'!$B$3:$B$97) &gt;= A330),
    'team lookup'!$E$3:$E$97,
    "Other"
)</f>
        <v>Big12</v>
      </c>
      <c r="E330">
        <f t="shared" si="10"/>
        <v>1</v>
      </c>
      <c r="F330">
        <f t="shared" si="11"/>
        <v>1</v>
      </c>
    </row>
    <row r="331" spans="1:6" x14ac:dyDescent="0.35">
      <c r="A331">
        <v>2017</v>
      </c>
      <c r="B331">
        <v>2083</v>
      </c>
      <c r="C331" t="s">
        <v>69</v>
      </c>
      <c r="D331" t="str" cm="1">
        <f t="array" ref="D331">_xlfn.XLOOKUP(1,
    ('team lookup'!$C$3:$C$97 = B331) * ('team lookup'!$A$3:$A$97 &lt;= A331) * (IF('team lookup'!$B$3:$B$97 = "", 9999, 'team lookup'!$B$3:$B$97) &gt;= A331),
    'team lookup'!$E$3:$E$97,
    "Other"
)</f>
        <v>Other</v>
      </c>
      <c r="E331">
        <f t="shared" si="10"/>
        <v>0</v>
      </c>
      <c r="F331">
        <f t="shared" si="11"/>
        <v>0</v>
      </c>
    </row>
    <row r="332" spans="1:6" x14ac:dyDescent="0.35">
      <c r="A332">
        <v>2017</v>
      </c>
      <c r="B332">
        <v>2086</v>
      </c>
      <c r="C332" t="s">
        <v>10</v>
      </c>
      <c r="D332" t="str" cm="1">
        <f t="array" ref="D332">_xlfn.XLOOKUP(1,
    ('team lookup'!$C$3:$C$97 = B332) * ('team lookup'!$A$3:$A$97 &lt;= A332) * (IF('team lookup'!$B$3:$B$97 = "", 9999, 'team lookup'!$B$3:$B$97) &gt;= A332),
    'team lookup'!$E$3:$E$97,
    "Other"
)</f>
        <v>Big East</v>
      </c>
      <c r="E332">
        <f t="shared" si="10"/>
        <v>0</v>
      </c>
      <c r="F332">
        <f t="shared" si="11"/>
        <v>1</v>
      </c>
    </row>
    <row r="333" spans="1:6" x14ac:dyDescent="0.35">
      <c r="A333">
        <v>2017</v>
      </c>
      <c r="B333">
        <v>2132</v>
      </c>
      <c r="C333" t="s">
        <v>70</v>
      </c>
      <c r="D333" t="str" cm="1">
        <f t="array" ref="D333">_xlfn.XLOOKUP(1,
    ('team lookup'!$C$3:$C$97 = B333) * ('team lookup'!$A$3:$A$97 &lt;= A333) * (IF('team lookup'!$B$3:$B$97 = "", 9999, 'team lookup'!$B$3:$B$97) &gt;= A333),
    'team lookup'!$E$3:$E$97,
    "Other"
)</f>
        <v>Other</v>
      </c>
      <c r="E333">
        <f t="shared" si="10"/>
        <v>0</v>
      </c>
      <c r="F333">
        <f t="shared" si="11"/>
        <v>0</v>
      </c>
    </row>
    <row r="334" spans="1:6" x14ac:dyDescent="0.35">
      <c r="A334">
        <v>2017</v>
      </c>
      <c r="B334">
        <v>156</v>
      </c>
      <c r="C334" t="s">
        <v>82</v>
      </c>
      <c r="D334" t="str" cm="1">
        <f t="array" ref="D334">_xlfn.XLOOKUP(1,
    ('team lookup'!$C$3:$C$97 = B334) * ('team lookup'!$A$3:$A$97 &lt;= A334) * (IF('team lookup'!$B$3:$B$97 = "", 9999, 'team lookup'!$B$3:$B$97) &gt;= A334),
    'team lookup'!$E$3:$E$97,
    "Other"
)</f>
        <v>Big East</v>
      </c>
      <c r="E334">
        <f t="shared" si="10"/>
        <v>0</v>
      </c>
      <c r="F334">
        <f t="shared" si="11"/>
        <v>1</v>
      </c>
    </row>
    <row r="335" spans="1:6" x14ac:dyDescent="0.35">
      <c r="A335">
        <v>2017</v>
      </c>
      <c r="B335">
        <v>2168</v>
      </c>
      <c r="C335" t="s">
        <v>46</v>
      </c>
      <c r="D335" t="str" cm="1">
        <f t="array" ref="D335">_xlfn.XLOOKUP(1,
    ('team lookup'!$C$3:$C$97 = B335) * ('team lookup'!$A$3:$A$97 &lt;= A335) * (IF('team lookup'!$B$3:$B$97 = "", 9999, 'team lookup'!$B$3:$B$97) &gt;= A335),
    'team lookup'!$E$3:$E$97,
    "Other"
)</f>
        <v>Other</v>
      </c>
      <c r="E335">
        <f t="shared" si="10"/>
        <v>0</v>
      </c>
      <c r="F335">
        <f t="shared" si="11"/>
        <v>0</v>
      </c>
    </row>
    <row r="336" spans="1:6" x14ac:dyDescent="0.35">
      <c r="A336">
        <v>2017</v>
      </c>
      <c r="B336">
        <v>150</v>
      </c>
      <c r="C336" t="s">
        <v>16</v>
      </c>
      <c r="D336" t="str" cm="1">
        <f t="array" ref="D336">_xlfn.XLOOKUP(1,
    ('team lookup'!$C$3:$C$97 = B336) * ('team lookup'!$A$3:$A$97 &lt;= A336) * (IF('team lookup'!$B$3:$B$97 = "", 9999, 'team lookup'!$B$3:$B$97) &gt;= A336),
    'team lookup'!$E$3:$E$97,
    "Other"
)</f>
        <v>ACC</v>
      </c>
      <c r="E336">
        <f t="shared" si="10"/>
        <v>1</v>
      </c>
      <c r="F336">
        <f t="shared" si="11"/>
        <v>1</v>
      </c>
    </row>
    <row r="337" spans="1:6" x14ac:dyDescent="0.35">
      <c r="A337">
        <v>2017</v>
      </c>
      <c r="B337">
        <v>2193</v>
      </c>
      <c r="C337" t="s">
        <v>47</v>
      </c>
      <c r="D337" t="str" cm="1">
        <f t="array" ref="D337">_xlfn.XLOOKUP(1,
    ('team lookup'!$C$3:$C$97 = B337) * ('team lookup'!$A$3:$A$97 &lt;= A337) * (IF('team lookup'!$B$3:$B$97 = "", 9999, 'team lookup'!$B$3:$B$97) &gt;= A337),
    'team lookup'!$E$3:$E$97,
    "Other"
)</f>
        <v>Other</v>
      </c>
      <c r="E337">
        <f t="shared" si="10"/>
        <v>0</v>
      </c>
      <c r="F337">
        <f t="shared" si="11"/>
        <v>0</v>
      </c>
    </row>
    <row r="338" spans="1:6" x14ac:dyDescent="0.35">
      <c r="A338">
        <v>2017</v>
      </c>
      <c r="B338">
        <v>526</v>
      </c>
      <c r="C338" t="s">
        <v>92</v>
      </c>
      <c r="D338" t="str" cm="1">
        <f t="array" ref="D338">_xlfn.XLOOKUP(1,
    ('team lookup'!$C$3:$C$97 = B338) * ('team lookup'!$A$3:$A$97 &lt;= A338) * (IF('team lookup'!$B$3:$B$97 = "", 9999, 'team lookup'!$B$3:$B$97) &gt;= A338),
    'team lookup'!$E$3:$E$97,
    "Other"
)</f>
        <v>Other</v>
      </c>
      <c r="E338">
        <f t="shared" si="10"/>
        <v>0</v>
      </c>
      <c r="F338">
        <f t="shared" si="11"/>
        <v>0</v>
      </c>
    </row>
    <row r="339" spans="1:6" x14ac:dyDescent="0.35">
      <c r="A339">
        <v>2017</v>
      </c>
      <c r="B339">
        <v>57</v>
      </c>
      <c r="C339" t="s">
        <v>58</v>
      </c>
      <c r="D339" t="str" cm="1">
        <f t="array" ref="D339">_xlfn.XLOOKUP(1,
    ('team lookup'!$C$3:$C$97 = B339) * ('team lookup'!$A$3:$A$97 &lt;= A339) * (IF('team lookup'!$B$3:$B$97 = "", 9999, 'team lookup'!$B$3:$B$97) &gt;= A339),
    'team lookup'!$E$3:$E$97,
    "Other"
)</f>
        <v>SEC</v>
      </c>
      <c r="E339">
        <f t="shared" si="10"/>
        <v>1</v>
      </c>
      <c r="F339">
        <f t="shared" si="11"/>
        <v>1</v>
      </c>
    </row>
    <row r="340" spans="1:6" x14ac:dyDescent="0.35">
      <c r="A340">
        <v>2017</v>
      </c>
      <c r="B340">
        <v>52</v>
      </c>
      <c r="C340" t="s">
        <v>48</v>
      </c>
      <c r="D340" t="str" cm="1">
        <f t="array" ref="D340">_xlfn.XLOOKUP(1,
    ('team lookup'!$C$3:$C$97 = B340) * ('team lookup'!$A$3:$A$97 &lt;= A340) * (IF('team lookup'!$B$3:$B$97 = "", 9999, 'team lookup'!$B$3:$B$97) &gt;= A340),
    'team lookup'!$E$3:$E$97,
    "Other"
)</f>
        <v>ACC</v>
      </c>
      <c r="E340">
        <f t="shared" si="10"/>
        <v>1</v>
      </c>
      <c r="F340">
        <f t="shared" si="11"/>
        <v>1</v>
      </c>
    </row>
    <row r="341" spans="1:6" x14ac:dyDescent="0.35">
      <c r="A341">
        <v>2017</v>
      </c>
      <c r="B341">
        <v>2250</v>
      </c>
      <c r="C341" t="s">
        <v>21</v>
      </c>
      <c r="D341" t="str" cm="1">
        <f t="array" ref="D341">_xlfn.XLOOKUP(1,
    ('team lookup'!$C$3:$C$97 = B341) * ('team lookup'!$A$3:$A$97 &lt;= A341) * (IF('team lookup'!$B$3:$B$97 = "", 9999, 'team lookup'!$B$3:$B$97) &gt;= A341),
    'team lookup'!$E$3:$E$97,
    "Other"
)</f>
        <v>Other</v>
      </c>
      <c r="E341">
        <f t="shared" si="10"/>
        <v>0</v>
      </c>
      <c r="F341">
        <f t="shared" si="11"/>
        <v>0</v>
      </c>
    </row>
    <row r="342" spans="1:6" x14ac:dyDescent="0.35">
      <c r="A342">
        <v>2017</v>
      </c>
      <c r="B342">
        <v>314</v>
      </c>
      <c r="C342" t="s">
        <v>85</v>
      </c>
      <c r="D342" t="str" cm="1">
        <f t="array" ref="D342">_xlfn.XLOOKUP(1,
    ('team lookup'!$C$3:$C$97 = B342) * ('team lookup'!$A$3:$A$97 &lt;= A342) * (IF('team lookup'!$B$3:$B$97 = "", 9999, 'team lookup'!$B$3:$B$97) &gt;= A342),
    'team lookup'!$E$3:$E$97,
    "Other"
)</f>
        <v>Other</v>
      </c>
      <c r="E342">
        <f t="shared" si="10"/>
        <v>0</v>
      </c>
      <c r="F342">
        <f t="shared" si="11"/>
        <v>0</v>
      </c>
    </row>
    <row r="343" spans="1:6" x14ac:dyDescent="0.35">
      <c r="A343">
        <v>2017</v>
      </c>
      <c r="B343">
        <v>66</v>
      </c>
      <c r="C343" t="s">
        <v>86</v>
      </c>
      <c r="D343" t="str" cm="1">
        <f t="array" ref="D343">_xlfn.XLOOKUP(1,
    ('team lookup'!$C$3:$C$97 = B343) * ('team lookup'!$A$3:$A$97 &lt;= A343) * (IF('team lookup'!$B$3:$B$97 = "", 9999, 'team lookup'!$B$3:$B$97) &gt;= A343),
    'team lookup'!$E$3:$E$97,
    "Other"
)</f>
        <v>Big12</v>
      </c>
      <c r="E343">
        <f t="shared" si="10"/>
        <v>1</v>
      </c>
      <c r="F343">
        <f t="shared" si="11"/>
        <v>1</v>
      </c>
    </row>
    <row r="344" spans="1:6" x14ac:dyDescent="0.35">
      <c r="A344">
        <v>2017</v>
      </c>
      <c r="B344">
        <v>55</v>
      </c>
      <c r="C344" t="s">
        <v>123</v>
      </c>
      <c r="D344" t="str" cm="1">
        <f t="array" ref="D344">_xlfn.XLOOKUP(1,
    ('team lookup'!$C$3:$C$97 = B344) * ('team lookup'!$A$3:$A$97 &lt;= A344) * (IF('team lookup'!$B$3:$B$97 = "", 9999, 'team lookup'!$B$3:$B$97) &gt;= A344),
    'team lookup'!$E$3:$E$97,
    "Other"
)</f>
        <v>Other</v>
      </c>
      <c r="E344">
        <f t="shared" si="10"/>
        <v>0</v>
      </c>
      <c r="F344">
        <f t="shared" si="11"/>
        <v>0</v>
      </c>
    </row>
    <row r="345" spans="1:6" x14ac:dyDescent="0.35">
      <c r="A345">
        <v>2017</v>
      </c>
      <c r="B345">
        <v>2305</v>
      </c>
      <c r="C345" t="s">
        <v>23</v>
      </c>
      <c r="D345" t="str" cm="1">
        <f t="array" ref="D345">_xlfn.XLOOKUP(1,
    ('team lookup'!$C$3:$C$97 = B345) * ('team lookup'!$A$3:$A$97 &lt;= A345) * (IF('team lookup'!$B$3:$B$97 = "", 9999, 'team lookup'!$B$3:$B$97) &gt;= A345),
    'team lookup'!$E$3:$E$97,
    "Other"
)</f>
        <v>Big12</v>
      </c>
      <c r="E345">
        <f t="shared" si="10"/>
        <v>1</v>
      </c>
      <c r="F345">
        <f t="shared" si="11"/>
        <v>1</v>
      </c>
    </row>
    <row r="346" spans="1:6" x14ac:dyDescent="0.35">
      <c r="A346">
        <v>2017</v>
      </c>
      <c r="B346">
        <v>2306</v>
      </c>
      <c r="C346" t="s">
        <v>24</v>
      </c>
      <c r="D346" t="str" cm="1">
        <f t="array" ref="D346">_xlfn.XLOOKUP(1,
    ('team lookup'!$C$3:$C$97 = B346) * ('team lookup'!$A$3:$A$97 &lt;= A346) * (IF('team lookup'!$B$3:$B$97 = "", 9999, 'team lookup'!$B$3:$B$97) &gt;= A346),
    'team lookup'!$E$3:$E$97,
    "Other"
)</f>
        <v>Big12</v>
      </c>
      <c r="E346">
        <f t="shared" si="10"/>
        <v>1</v>
      </c>
      <c r="F346">
        <f t="shared" si="11"/>
        <v>1</v>
      </c>
    </row>
    <row r="347" spans="1:6" x14ac:dyDescent="0.35">
      <c r="A347">
        <v>2017</v>
      </c>
      <c r="B347">
        <v>2309</v>
      </c>
      <c r="C347" t="s">
        <v>25</v>
      </c>
      <c r="D347" t="str" cm="1">
        <f t="array" ref="D347">_xlfn.XLOOKUP(1,
    ('team lookup'!$C$3:$C$97 = B347) * ('team lookup'!$A$3:$A$97 &lt;= A347) * (IF('team lookup'!$B$3:$B$97 = "", 9999, 'team lookup'!$B$3:$B$97) &gt;= A347),
    'team lookup'!$E$3:$E$97,
    "Other"
)</f>
        <v>Other</v>
      </c>
      <c r="E347">
        <f t="shared" si="10"/>
        <v>0</v>
      </c>
      <c r="F347">
        <f t="shared" si="11"/>
        <v>0</v>
      </c>
    </row>
    <row r="348" spans="1:6" x14ac:dyDescent="0.35">
      <c r="A348">
        <v>2017</v>
      </c>
      <c r="B348">
        <v>96</v>
      </c>
      <c r="C348" t="s">
        <v>26</v>
      </c>
      <c r="D348" t="str" cm="1">
        <f t="array" ref="D348">_xlfn.XLOOKUP(1,
    ('team lookup'!$C$3:$C$97 = B348) * ('team lookup'!$A$3:$A$97 &lt;= A348) * (IF('team lookup'!$B$3:$B$97 = "", 9999, 'team lookup'!$B$3:$B$97) &gt;= A348),
    'team lookup'!$E$3:$E$97,
    "Other"
)</f>
        <v>SEC</v>
      </c>
      <c r="E348">
        <f t="shared" si="10"/>
        <v>1</v>
      </c>
      <c r="F348">
        <f t="shared" si="11"/>
        <v>1</v>
      </c>
    </row>
    <row r="349" spans="1:6" x14ac:dyDescent="0.35">
      <c r="A349">
        <v>2017</v>
      </c>
      <c r="B349">
        <v>97</v>
      </c>
      <c r="C349" t="s">
        <v>27</v>
      </c>
      <c r="D349" t="str" cm="1">
        <f t="array" ref="D349">_xlfn.XLOOKUP(1,
    ('team lookup'!$C$3:$C$97 = B349) * ('team lookup'!$A$3:$A$97 &lt;= A349) * (IF('team lookup'!$B$3:$B$97 = "", 9999, 'team lookup'!$B$3:$B$97) &gt;= A349),
    'team lookup'!$E$3:$E$97,
    "Other"
)</f>
        <v>ACC</v>
      </c>
      <c r="E349">
        <f t="shared" si="10"/>
        <v>1</v>
      </c>
      <c r="F349">
        <f t="shared" si="11"/>
        <v>1</v>
      </c>
    </row>
    <row r="350" spans="1:6" x14ac:dyDescent="0.35">
      <c r="A350">
        <v>2017</v>
      </c>
      <c r="B350">
        <v>269</v>
      </c>
      <c r="C350" t="s">
        <v>28</v>
      </c>
      <c r="D350" t="str" cm="1">
        <f t="array" ref="D350">_xlfn.XLOOKUP(1,
    ('team lookup'!$C$3:$C$97 = B350) * ('team lookup'!$A$3:$A$97 &lt;= A350) * (IF('team lookup'!$B$3:$B$97 = "", 9999, 'team lookup'!$B$3:$B$97) &gt;= A350),
    'team lookup'!$E$3:$E$97,
    "Other"
)</f>
        <v>Big East</v>
      </c>
      <c r="E350">
        <f t="shared" si="10"/>
        <v>0</v>
      </c>
      <c r="F350">
        <f t="shared" si="11"/>
        <v>1</v>
      </c>
    </row>
    <row r="351" spans="1:6" x14ac:dyDescent="0.35">
      <c r="A351">
        <v>2017</v>
      </c>
      <c r="B351">
        <v>120</v>
      </c>
      <c r="C351" t="s">
        <v>51</v>
      </c>
      <c r="D351" t="str" cm="1">
        <f t="array" ref="D351">_xlfn.XLOOKUP(1,
    ('team lookup'!$C$3:$C$97 = B351) * ('team lookup'!$A$3:$A$97 &lt;= A351) * (IF('team lookup'!$B$3:$B$97 = "", 9999, 'team lookup'!$B$3:$B$97) &gt;= A351),
    'team lookup'!$E$3:$E$97,
    "Other"
)</f>
        <v>Big Ten</v>
      </c>
      <c r="E351">
        <f t="shared" si="10"/>
        <v>0</v>
      </c>
      <c r="F351">
        <f t="shared" si="11"/>
        <v>1</v>
      </c>
    </row>
    <row r="352" spans="1:6" x14ac:dyDescent="0.35">
      <c r="A352">
        <v>2017</v>
      </c>
      <c r="B352">
        <v>2390</v>
      </c>
      <c r="C352" t="s">
        <v>30</v>
      </c>
      <c r="D352" t="str" cm="1">
        <f t="array" ref="D352">_xlfn.XLOOKUP(1,
    ('team lookup'!$C$3:$C$97 = B352) * ('team lookup'!$A$3:$A$97 &lt;= A352) * (IF('team lookup'!$B$3:$B$97 = "", 9999, 'team lookup'!$B$3:$B$97) &gt;= A352),
    'team lookup'!$E$3:$E$97,
    "Other"
)</f>
        <v>ACC</v>
      </c>
      <c r="E352">
        <f t="shared" si="10"/>
        <v>1</v>
      </c>
      <c r="F352">
        <f t="shared" si="11"/>
        <v>1</v>
      </c>
    </row>
    <row r="353" spans="1:6" x14ac:dyDescent="0.35">
      <c r="A353">
        <v>2017</v>
      </c>
      <c r="B353">
        <v>130</v>
      </c>
      <c r="C353" t="s">
        <v>52</v>
      </c>
      <c r="D353" t="str" cm="1">
        <f t="array" ref="D353">_xlfn.XLOOKUP(1,
    ('team lookup'!$C$3:$C$97 = B353) * ('team lookup'!$A$3:$A$97 &lt;= A353) * (IF('team lookup'!$B$3:$B$97 = "", 9999, 'team lookup'!$B$3:$B$97) &gt;= A353),
    'team lookup'!$E$3:$E$97,
    "Other"
)</f>
        <v>Big Ten</v>
      </c>
      <c r="E353">
        <f t="shared" si="10"/>
        <v>0</v>
      </c>
      <c r="F353">
        <f t="shared" si="11"/>
        <v>1</v>
      </c>
    </row>
    <row r="354" spans="1:6" x14ac:dyDescent="0.35">
      <c r="A354">
        <v>2017</v>
      </c>
      <c r="B354">
        <v>127</v>
      </c>
      <c r="C354" t="s">
        <v>31</v>
      </c>
      <c r="D354" t="str" cm="1">
        <f t="array" ref="D354">_xlfn.XLOOKUP(1,
    ('team lookup'!$C$3:$C$97 = B354) * ('team lookup'!$A$3:$A$97 &lt;= A354) * (IF('team lookup'!$B$3:$B$97 = "", 9999, 'team lookup'!$B$3:$B$97) &gt;= A354),
    'team lookup'!$E$3:$E$97,
    "Other"
)</f>
        <v>Big Ten</v>
      </c>
      <c r="E354">
        <f t="shared" si="10"/>
        <v>0</v>
      </c>
      <c r="F354">
        <f t="shared" si="11"/>
        <v>1</v>
      </c>
    </row>
    <row r="355" spans="1:6" x14ac:dyDescent="0.35">
      <c r="A355">
        <v>2017</v>
      </c>
      <c r="B355">
        <v>135</v>
      </c>
      <c r="C355" t="s">
        <v>53</v>
      </c>
      <c r="D355" t="str" cm="1">
        <f t="array" ref="D355">_xlfn.XLOOKUP(1,
    ('team lookup'!$C$3:$C$97 = B355) * ('team lookup'!$A$3:$A$97 &lt;= A355) * (IF('team lookup'!$B$3:$B$97 = "", 9999, 'team lookup'!$B$3:$B$97) &gt;= A355),
    'team lookup'!$E$3:$E$97,
    "Other"
)</f>
        <v>Big Ten</v>
      </c>
      <c r="E355">
        <f t="shared" si="10"/>
        <v>0</v>
      </c>
      <c r="F355">
        <f t="shared" si="11"/>
        <v>1</v>
      </c>
    </row>
    <row r="356" spans="1:6" x14ac:dyDescent="0.35">
      <c r="A356">
        <v>2017</v>
      </c>
      <c r="B356">
        <v>116</v>
      </c>
      <c r="C356" t="s">
        <v>34</v>
      </c>
      <c r="D356" t="str" cm="1">
        <f t="array" ref="D356">_xlfn.XLOOKUP(1,
    ('team lookup'!$C$3:$C$97 = B356) * ('team lookup'!$A$3:$A$97 &lt;= A356) * (IF('team lookup'!$B$3:$B$97 = "", 9999, 'team lookup'!$B$3:$B$97) &gt;= A356),
    'team lookup'!$E$3:$E$97,
    "Other"
)</f>
        <v>Other</v>
      </c>
      <c r="E356">
        <f t="shared" si="10"/>
        <v>0</v>
      </c>
      <c r="F356">
        <f t="shared" si="11"/>
        <v>0</v>
      </c>
    </row>
    <row r="357" spans="1:6" x14ac:dyDescent="0.35">
      <c r="A357">
        <v>2017</v>
      </c>
      <c r="B357">
        <v>2393</v>
      </c>
      <c r="C357" t="s">
        <v>120</v>
      </c>
      <c r="D357" t="str" cm="1">
        <f t="array" ref="D357">_xlfn.XLOOKUP(1,
    ('team lookup'!$C$3:$C$97 = B357) * ('team lookup'!$A$3:$A$97 &lt;= A357) * (IF('team lookup'!$B$3:$B$97 = "", 9999, 'team lookup'!$B$3:$B$97) &gt;= A357),
    'team lookup'!$E$3:$E$97,
    "Other"
)</f>
        <v>Other</v>
      </c>
      <c r="E357">
        <f t="shared" si="10"/>
        <v>0</v>
      </c>
      <c r="F357">
        <f t="shared" si="11"/>
        <v>0</v>
      </c>
    </row>
    <row r="358" spans="1:6" x14ac:dyDescent="0.35">
      <c r="A358">
        <v>2017</v>
      </c>
      <c r="B358">
        <v>94</v>
      </c>
      <c r="C358" t="s">
        <v>124</v>
      </c>
      <c r="D358" t="str" cm="1">
        <f t="array" ref="D358">_xlfn.XLOOKUP(1,
    ('team lookup'!$C$3:$C$97 = B358) * ('team lookup'!$A$3:$A$97 &lt;= A358) * (IF('team lookup'!$B$3:$B$97 = "", 9999, 'team lookup'!$B$3:$B$97) &gt;= A358),
    'team lookup'!$E$3:$E$97,
    "Other"
)</f>
        <v>Other</v>
      </c>
      <c r="E358">
        <f t="shared" si="10"/>
        <v>0</v>
      </c>
      <c r="F358">
        <f t="shared" si="11"/>
        <v>0</v>
      </c>
    </row>
    <row r="359" spans="1:6" x14ac:dyDescent="0.35">
      <c r="A359">
        <v>2017</v>
      </c>
      <c r="B359">
        <v>2428</v>
      </c>
      <c r="C359" t="s">
        <v>107</v>
      </c>
      <c r="D359" t="str" cm="1">
        <f t="array" ref="D359">_xlfn.XLOOKUP(1,
    ('team lookup'!$C$3:$C$97 = B359) * ('team lookup'!$A$3:$A$97 &lt;= A359) * (IF('team lookup'!$B$3:$B$97 = "", 9999, 'team lookup'!$B$3:$B$97) &gt;= A359),
    'team lookup'!$E$3:$E$97,
    "Other"
)</f>
        <v>Other</v>
      </c>
      <c r="E359">
        <f t="shared" si="10"/>
        <v>0</v>
      </c>
      <c r="F359">
        <f t="shared" si="11"/>
        <v>0</v>
      </c>
    </row>
    <row r="360" spans="1:6" x14ac:dyDescent="0.35">
      <c r="A360">
        <v>2017</v>
      </c>
      <c r="B360">
        <v>2440</v>
      </c>
      <c r="C360" t="s">
        <v>125</v>
      </c>
      <c r="D360" t="str" cm="1">
        <f t="array" ref="D360">_xlfn.XLOOKUP(1,
    ('team lookup'!$C$3:$C$97 = B360) * ('team lookup'!$A$3:$A$97 &lt;= A360) * (IF('team lookup'!$B$3:$B$97 = "", 9999, 'team lookup'!$B$3:$B$97) &gt;= A360),
    'team lookup'!$E$3:$E$97,
    "Other"
)</f>
        <v>Other</v>
      </c>
      <c r="E360">
        <f t="shared" si="10"/>
        <v>0</v>
      </c>
      <c r="F360">
        <f t="shared" si="11"/>
        <v>0</v>
      </c>
    </row>
    <row r="361" spans="1:6" x14ac:dyDescent="0.35">
      <c r="A361">
        <v>2017</v>
      </c>
      <c r="B361">
        <v>166</v>
      </c>
      <c r="C361" t="s">
        <v>65</v>
      </c>
      <c r="D361" t="str" cm="1">
        <f t="array" ref="D361">_xlfn.XLOOKUP(1,
    ('team lookup'!$C$3:$C$97 = B361) * ('team lookup'!$A$3:$A$97 &lt;= A361) * (IF('team lookup'!$B$3:$B$97 = "", 9999, 'team lookup'!$B$3:$B$97) &gt;= A361),
    'team lookup'!$E$3:$E$97,
    "Other"
)</f>
        <v>Other</v>
      </c>
      <c r="E361">
        <f t="shared" si="10"/>
        <v>0</v>
      </c>
      <c r="F361">
        <f t="shared" si="11"/>
        <v>0</v>
      </c>
    </row>
    <row r="362" spans="1:6" x14ac:dyDescent="0.35">
      <c r="A362">
        <v>2018</v>
      </c>
      <c r="B362">
        <v>333</v>
      </c>
      <c r="C362" t="s">
        <v>79</v>
      </c>
      <c r="D362" t="str" cm="1">
        <f t="array" ref="D362">_xlfn.XLOOKUP(1,
    ('team lookup'!$C$3:$C$97 = B362) * ('team lookup'!$A$3:$A$97 &lt;= A362) * (IF('team lookup'!$B$3:$B$97 = "", 9999, 'team lookup'!$B$3:$B$97) &gt;= A362),
    'team lookup'!$E$3:$E$97,
    "Other"
)</f>
        <v>SEC</v>
      </c>
      <c r="E362">
        <f t="shared" si="10"/>
        <v>1</v>
      </c>
      <c r="F362">
        <f t="shared" si="11"/>
        <v>1</v>
      </c>
    </row>
    <row r="363" spans="1:6" x14ac:dyDescent="0.35">
      <c r="A363">
        <v>2018</v>
      </c>
      <c r="B363">
        <v>12</v>
      </c>
      <c r="C363" t="s">
        <v>4</v>
      </c>
      <c r="D363" t="str" cm="1">
        <f t="array" ref="D363">_xlfn.XLOOKUP(1,
    ('team lookup'!$C$3:$C$97 = B363) * ('team lookup'!$A$3:$A$97 &lt;= A363) * (IF('team lookup'!$B$3:$B$97 = "", 9999, 'team lookup'!$B$3:$B$97) &gt;= A363),
    'team lookup'!$E$3:$E$97,
    "Other"
)</f>
        <v>Other</v>
      </c>
      <c r="E363">
        <f t="shared" si="10"/>
        <v>0</v>
      </c>
      <c r="F363">
        <f t="shared" si="11"/>
        <v>0</v>
      </c>
    </row>
    <row r="364" spans="1:6" x14ac:dyDescent="0.35">
      <c r="A364">
        <v>2018</v>
      </c>
      <c r="B364">
        <v>9</v>
      </c>
      <c r="C364" t="s">
        <v>39</v>
      </c>
      <c r="D364" t="str" cm="1">
        <f t="array" ref="D364">_xlfn.XLOOKUP(1,
    ('team lookup'!$C$3:$C$97 = B364) * ('team lookup'!$A$3:$A$97 &lt;= A364) * (IF('team lookup'!$B$3:$B$97 = "", 9999, 'team lookup'!$B$3:$B$97) &gt;= A364),
    'team lookup'!$E$3:$E$97,
    "Other"
)</f>
        <v>Other</v>
      </c>
      <c r="E364">
        <f t="shared" si="10"/>
        <v>0</v>
      </c>
      <c r="F364">
        <f t="shared" si="11"/>
        <v>0</v>
      </c>
    </row>
    <row r="365" spans="1:6" x14ac:dyDescent="0.35">
      <c r="A365">
        <v>2018</v>
      </c>
      <c r="B365">
        <v>8</v>
      </c>
      <c r="C365" t="s">
        <v>5</v>
      </c>
      <c r="D365" t="str" cm="1">
        <f t="array" ref="D365">_xlfn.XLOOKUP(1,
    ('team lookup'!$C$3:$C$97 = B365) * ('team lookup'!$A$3:$A$97 &lt;= A365) * (IF('team lookup'!$B$3:$B$97 = "", 9999, 'team lookup'!$B$3:$B$97) &gt;= A365),
    'team lookup'!$E$3:$E$97,
    "Other"
)</f>
        <v>SEC</v>
      </c>
      <c r="E365">
        <f t="shared" si="10"/>
        <v>1</v>
      </c>
      <c r="F365">
        <f t="shared" si="11"/>
        <v>1</v>
      </c>
    </row>
    <row r="366" spans="1:6" x14ac:dyDescent="0.35">
      <c r="A366">
        <v>2018</v>
      </c>
      <c r="B366">
        <v>2</v>
      </c>
      <c r="C366" t="s">
        <v>126</v>
      </c>
      <c r="D366" t="str" cm="1">
        <f t="array" ref="D366">_xlfn.XLOOKUP(1,
    ('team lookup'!$C$3:$C$97 = B366) * ('team lookup'!$A$3:$A$97 &lt;= A366) * (IF('team lookup'!$B$3:$B$97 = "", 9999, 'team lookup'!$B$3:$B$97) &gt;= A366),
    'team lookup'!$E$3:$E$97,
    "Other"
)</f>
        <v>SEC</v>
      </c>
      <c r="E366">
        <f t="shared" si="10"/>
        <v>1</v>
      </c>
      <c r="F366">
        <f t="shared" si="11"/>
        <v>1</v>
      </c>
    </row>
    <row r="367" spans="1:6" x14ac:dyDescent="0.35">
      <c r="A367">
        <v>2018</v>
      </c>
      <c r="B367">
        <v>2083</v>
      </c>
      <c r="C367" t="s">
        <v>69</v>
      </c>
      <c r="D367" t="str" cm="1">
        <f t="array" ref="D367">_xlfn.XLOOKUP(1,
    ('team lookup'!$C$3:$C$97 = B367) * ('team lookup'!$A$3:$A$97 &lt;= A367) * (IF('team lookup'!$B$3:$B$97 = "", 9999, 'team lookup'!$B$3:$B$97) &gt;= A367),
    'team lookup'!$E$3:$E$97,
    "Other"
)</f>
        <v>Other</v>
      </c>
      <c r="E367">
        <f t="shared" si="10"/>
        <v>0</v>
      </c>
      <c r="F367">
        <f t="shared" si="11"/>
        <v>0</v>
      </c>
    </row>
    <row r="368" spans="1:6" x14ac:dyDescent="0.35">
      <c r="A368">
        <v>2018</v>
      </c>
      <c r="B368">
        <v>2084</v>
      </c>
      <c r="C368" t="s">
        <v>109</v>
      </c>
      <c r="D368" t="str" cm="1">
        <f t="array" ref="D368">_xlfn.XLOOKUP(1,
    ('team lookup'!$C$3:$C$97 = B368) * ('team lookup'!$A$3:$A$97 &lt;= A368) * (IF('team lookup'!$B$3:$B$97 = "", 9999, 'team lookup'!$B$3:$B$97) &gt;= A368),
    'team lookup'!$E$3:$E$97,
    "Other"
)</f>
        <v>Other</v>
      </c>
      <c r="E368">
        <f t="shared" si="10"/>
        <v>0</v>
      </c>
      <c r="F368">
        <f t="shared" si="11"/>
        <v>0</v>
      </c>
    </row>
    <row r="369" spans="1:6" x14ac:dyDescent="0.35">
      <c r="A369">
        <v>2018</v>
      </c>
      <c r="B369">
        <v>2086</v>
      </c>
      <c r="C369" t="s">
        <v>10</v>
      </c>
      <c r="D369" t="str" cm="1">
        <f t="array" ref="D369">_xlfn.XLOOKUP(1,
    ('team lookup'!$C$3:$C$97 = B369) * ('team lookup'!$A$3:$A$97 &lt;= A369) * (IF('team lookup'!$B$3:$B$97 = "", 9999, 'team lookup'!$B$3:$B$97) &gt;= A369),
    'team lookup'!$E$3:$E$97,
    "Other"
)</f>
        <v>Big East</v>
      </c>
      <c r="E369">
        <f t="shared" si="10"/>
        <v>0</v>
      </c>
      <c r="F369">
        <f t="shared" si="11"/>
        <v>1</v>
      </c>
    </row>
    <row r="370" spans="1:6" x14ac:dyDescent="0.35">
      <c r="A370">
        <v>2018</v>
      </c>
      <c r="B370">
        <v>232</v>
      </c>
      <c r="C370" t="s">
        <v>127</v>
      </c>
      <c r="D370" t="str" cm="1">
        <f t="array" ref="D370">_xlfn.XLOOKUP(1,
    ('team lookup'!$C$3:$C$97 = B370) * ('team lookup'!$A$3:$A$97 &lt;= A370) * (IF('team lookup'!$B$3:$B$97 = "", 9999, 'team lookup'!$B$3:$B$97) &gt;= A370),
    'team lookup'!$E$3:$E$97,
    "Other"
)</f>
        <v>Other</v>
      </c>
      <c r="E370">
        <f t="shared" si="10"/>
        <v>0</v>
      </c>
      <c r="F370">
        <f t="shared" si="11"/>
        <v>0</v>
      </c>
    </row>
    <row r="371" spans="1:6" x14ac:dyDescent="0.35">
      <c r="A371">
        <v>2018</v>
      </c>
      <c r="B371">
        <v>2132</v>
      </c>
      <c r="C371" t="s">
        <v>70</v>
      </c>
      <c r="D371" t="str" cm="1">
        <f t="array" ref="D371">_xlfn.XLOOKUP(1,
    ('team lookup'!$C$3:$C$97 = B371) * ('team lookup'!$A$3:$A$97 &lt;= A371) * (IF('team lookup'!$B$3:$B$97 = "", 9999, 'team lookup'!$B$3:$B$97) &gt;= A371),
    'team lookup'!$E$3:$E$97,
    "Other"
)</f>
        <v>Other</v>
      </c>
      <c r="E371">
        <f t="shared" si="10"/>
        <v>0</v>
      </c>
      <c r="F371">
        <f t="shared" si="11"/>
        <v>0</v>
      </c>
    </row>
    <row r="372" spans="1:6" x14ac:dyDescent="0.35">
      <c r="A372">
        <v>2018</v>
      </c>
      <c r="B372">
        <v>228</v>
      </c>
      <c r="C372" t="s">
        <v>12</v>
      </c>
      <c r="D372" t="str" cm="1">
        <f t="array" ref="D372">_xlfn.XLOOKUP(1,
    ('team lookup'!$C$3:$C$97 = B372) * ('team lookup'!$A$3:$A$97 &lt;= A372) * (IF('team lookup'!$B$3:$B$97 = "", 9999, 'team lookup'!$B$3:$B$97) &gt;= A372),
    'team lookup'!$E$3:$E$97,
    "Other"
)</f>
        <v>ACC</v>
      </c>
      <c r="E372">
        <f t="shared" si="10"/>
        <v>1</v>
      </c>
      <c r="F372">
        <f t="shared" si="11"/>
        <v>1</v>
      </c>
    </row>
    <row r="373" spans="1:6" x14ac:dyDescent="0.35">
      <c r="A373">
        <v>2018</v>
      </c>
      <c r="B373">
        <v>156</v>
      </c>
      <c r="C373" t="s">
        <v>82</v>
      </c>
      <c r="D373" t="str" cm="1">
        <f t="array" ref="D373">_xlfn.XLOOKUP(1,
    ('team lookup'!$C$3:$C$97 = B373) * ('team lookup'!$A$3:$A$97 &lt;= A373) * (IF('team lookup'!$B$3:$B$97 = "", 9999, 'team lookup'!$B$3:$B$97) &gt;= A373),
    'team lookup'!$E$3:$E$97,
    "Other"
)</f>
        <v>Big East</v>
      </c>
      <c r="E373">
        <f t="shared" si="10"/>
        <v>0</v>
      </c>
      <c r="F373">
        <f t="shared" si="11"/>
        <v>1</v>
      </c>
    </row>
    <row r="374" spans="1:6" x14ac:dyDescent="0.35">
      <c r="A374">
        <v>2018</v>
      </c>
      <c r="B374">
        <v>2166</v>
      </c>
      <c r="C374" t="s">
        <v>14</v>
      </c>
      <c r="D374" t="str" cm="1">
        <f t="array" ref="D374">_xlfn.XLOOKUP(1,
    ('team lookup'!$C$3:$C$97 = B374) * ('team lookup'!$A$3:$A$97 &lt;= A374) * (IF('team lookup'!$B$3:$B$97 = "", 9999, 'team lookup'!$B$3:$B$97) &gt;= A374),
    'team lookup'!$E$3:$E$97,
    "Other"
)</f>
        <v>Other</v>
      </c>
      <c r="E374">
        <f t="shared" si="10"/>
        <v>0</v>
      </c>
      <c r="F374">
        <f t="shared" si="11"/>
        <v>0</v>
      </c>
    </row>
    <row r="375" spans="1:6" x14ac:dyDescent="0.35">
      <c r="A375">
        <v>2018</v>
      </c>
      <c r="B375">
        <v>150</v>
      </c>
      <c r="C375" t="s">
        <v>16</v>
      </c>
      <c r="D375" t="str" cm="1">
        <f t="array" ref="D375">_xlfn.XLOOKUP(1,
    ('team lookup'!$C$3:$C$97 = B375) * ('team lookup'!$A$3:$A$97 &lt;= A375) * (IF('team lookup'!$B$3:$B$97 = "", 9999, 'team lookup'!$B$3:$B$97) &gt;= A375),
    'team lookup'!$E$3:$E$97,
    "Other"
)</f>
        <v>ACC</v>
      </c>
      <c r="E375">
        <f t="shared" si="10"/>
        <v>1</v>
      </c>
      <c r="F375">
        <f t="shared" si="11"/>
        <v>1</v>
      </c>
    </row>
    <row r="376" spans="1:6" x14ac:dyDescent="0.35">
      <c r="A376">
        <v>2018</v>
      </c>
      <c r="B376">
        <v>57</v>
      </c>
      <c r="C376" t="s">
        <v>58</v>
      </c>
      <c r="D376" t="str" cm="1">
        <f t="array" ref="D376">_xlfn.XLOOKUP(1,
    ('team lookup'!$C$3:$C$97 = B376) * ('team lookup'!$A$3:$A$97 &lt;= A376) * (IF('team lookup'!$B$3:$B$97 = "", 9999, 'team lookup'!$B$3:$B$97) &gt;= A376),
    'team lookup'!$E$3:$E$97,
    "Other"
)</f>
        <v>SEC</v>
      </c>
      <c r="E376">
        <f t="shared" si="10"/>
        <v>1</v>
      </c>
      <c r="F376">
        <f t="shared" si="11"/>
        <v>1</v>
      </c>
    </row>
    <row r="377" spans="1:6" x14ac:dyDescent="0.35">
      <c r="A377">
        <v>2018</v>
      </c>
      <c r="B377">
        <v>52</v>
      </c>
      <c r="C377" t="s">
        <v>48</v>
      </c>
      <c r="D377" t="str" cm="1">
        <f t="array" ref="D377">_xlfn.XLOOKUP(1,
    ('team lookup'!$C$3:$C$97 = B377) * ('team lookup'!$A$3:$A$97 &lt;= A377) * (IF('team lookup'!$B$3:$B$97 = "", 9999, 'team lookup'!$B$3:$B$97) &gt;= A377),
    'team lookup'!$E$3:$E$97,
    "Other"
)</f>
        <v>ACC</v>
      </c>
      <c r="E377">
        <f t="shared" si="10"/>
        <v>1</v>
      </c>
      <c r="F377">
        <f t="shared" si="11"/>
        <v>1</v>
      </c>
    </row>
    <row r="378" spans="1:6" x14ac:dyDescent="0.35">
      <c r="A378">
        <v>2018</v>
      </c>
      <c r="B378">
        <v>2239</v>
      </c>
      <c r="C378" t="s">
        <v>17</v>
      </c>
      <c r="D378" t="str" cm="1">
        <f t="array" ref="D378">_xlfn.XLOOKUP(1,
    ('team lookup'!$C$3:$C$97 = B378) * ('team lookup'!$A$3:$A$97 &lt;= A378) * (IF('team lookup'!$B$3:$B$97 = "", 9999, 'team lookup'!$B$3:$B$97) &gt;= A378),
    'team lookup'!$E$3:$E$97,
    "Other"
)</f>
        <v>Other</v>
      </c>
      <c r="E378">
        <f t="shared" si="10"/>
        <v>0</v>
      </c>
      <c r="F378">
        <f t="shared" si="11"/>
        <v>0</v>
      </c>
    </row>
    <row r="379" spans="1:6" x14ac:dyDescent="0.35">
      <c r="A379">
        <v>2018</v>
      </c>
      <c r="B379">
        <v>2247</v>
      </c>
      <c r="C379" t="s">
        <v>111</v>
      </c>
      <c r="D379" t="str" cm="1">
        <f t="array" ref="D379">_xlfn.XLOOKUP(1,
    ('team lookup'!$C$3:$C$97 = B379) * ('team lookup'!$A$3:$A$97 &lt;= A379) * (IF('team lookup'!$B$3:$B$97 = "", 9999, 'team lookup'!$B$3:$B$97) &gt;= A379),
    'team lookup'!$E$3:$E$97,
    "Other"
)</f>
        <v>Other</v>
      </c>
      <c r="E379">
        <f t="shared" si="10"/>
        <v>0</v>
      </c>
      <c r="F379">
        <f t="shared" si="11"/>
        <v>0</v>
      </c>
    </row>
    <row r="380" spans="1:6" x14ac:dyDescent="0.35">
      <c r="A380">
        <v>2018</v>
      </c>
      <c r="B380">
        <v>2250</v>
      </c>
      <c r="C380" t="s">
        <v>21</v>
      </c>
      <c r="D380" t="str" cm="1">
        <f t="array" ref="D380">_xlfn.XLOOKUP(1,
    ('team lookup'!$C$3:$C$97 = B380) * ('team lookup'!$A$3:$A$97 &lt;= A380) * (IF('team lookup'!$B$3:$B$97 = "", 9999, 'team lookup'!$B$3:$B$97) &gt;= A380),
    'team lookup'!$E$3:$E$97,
    "Other"
)</f>
        <v>Other</v>
      </c>
      <c r="E380">
        <f t="shared" si="10"/>
        <v>0</v>
      </c>
      <c r="F380">
        <f t="shared" si="11"/>
        <v>0</v>
      </c>
    </row>
    <row r="381" spans="1:6" x14ac:dyDescent="0.35">
      <c r="A381">
        <v>2018</v>
      </c>
      <c r="B381">
        <v>248</v>
      </c>
      <c r="C381" t="s">
        <v>60</v>
      </c>
      <c r="D381" t="str" cm="1">
        <f t="array" ref="D381">_xlfn.XLOOKUP(1,
    ('team lookup'!$C$3:$C$97 = B381) * ('team lookup'!$A$3:$A$97 &lt;= A381) * (IF('team lookup'!$B$3:$B$97 = "", 9999, 'team lookup'!$B$3:$B$97) &gt;= A381),
    'team lookup'!$E$3:$E$97,
    "Other"
)</f>
        <v>Other</v>
      </c>
      <c r="E381">
        <f t="shared" si="10"/>
        <v>0</v>
      </c>
      <c r="F381">
        <f t="shared" si="11"/>
        <v>0</v>
      </c>
    </row>
    <row r="382" spans="1:6" x14ac:dyDescent="0.35">
      <c r="A382">
        <v>2018</v>
      </c>
      <c r="B382">
        <v>314</v>
      </c>
      <c r="C382" t="s">
        <v>85</v>
      </c>
      <c r="D382" t="str" cm="1">
        <f t="array" ref="D382">_xlfn.XLOOKUP(1,
    ('team lookup'!$C$3:$C$97 = B382) * ('team lookup'!$A$3:$A$97 &lt;= A382) * (IF('team lookup'!$B$3:$B$97 = "", 9999, 'team lookup'!$B$3:$B$97) &gt;= A382),
    'team lookup'!$E$3:$E$97,
    "Other"
)</f>
        <v>Other</v>
      </c>
      <c r="E382">
        <f t="shared" si="10"/>
        <v>0</v>
      </c>
      <c r="F382">
        <f t="shared" si="11"/>
        <v>0</v>
      </c>
    </row>
    <row r="383" spans="1:6" x14ac:dyDescent="0.35">
      <c r="A383">
        <v>2018</v>
      </c>
      <c r="B383">
        <v>2305</v>
      </c>
      <c r="C383" t="s">
        <v>23</v>
      </c>
      <c r="D383" t="str" cm="1">
        <f t="array" ref="D383">_xlfn.XLOOKUP(1,
    ('team lookup'!$C$3:$C$97 = B383) * ('team lookup'!$A$3:$A$97 &lt;= A383) * (IF('team lookup'!$B$3:$B$97 = "", 9999, 'team lookup'!$B$3:$B$97) &gt;= A383),
    'team lookup'!$E$3:$E$97,
    "Other"
)</f>
        <v>Big12</v>
      </c>
      <c r="E383">
        <f t="shared" si="10"/>
        <v>1</v>
      </c>
      <c r="F383">
        <f t="shared" si="11"/>
        <v>1</v>
      </c>
    </row>
    <row r="384" spans="1:6" x14ac:dyDescent="0.35">
      <c r="A384">
        <v>2018</v>
      </c>
      <c r="B384">
        <v>2306</v>
      </c>
      <c r="C384" t="s">
        <v>24</v>
      </c>
      <c r="D384" t="str" cm="1">
        <f t="array" ref="D384">_xlfn.XLOOKUP(1,
    ('team lookup'!$C$3:$C$97 = B384) * ('team lookup'!$A$3:$A$97 &lt;= A384) * (IF('team lookup'!$B$3:$B$97 = "", 9999, 'team lookup'!$B$3:$B$97) &gt;= A384),
    'team lookup'!$E$3:$E$97,
    "Other"
)</f>
        <v>Big12</v>
      </c>
      <c r="E384">
        <f t="shared" si="10"/>
        <v>1</v>
      </c>
      <c r="F384">
        <f t="shared" si="11"/>
        <v>1</v>
      </c>
    </row>
    <row r="385" spans="1:6" x14ac:dyDescent="0.35">
      <c r="A385">
        <v>2018</v>
      </c>
      <c r="B385">
        <v>96</v>
      </c>
      <c r="C385" t="s">
        <v>26</v>
      </c>
      <c r="D385" t="str" cm="1">
        <f t="array" ref="D385">_xlfn.XLOOKUP(1,
    ('team lookup'!$C$3:$C$97 = B385) * ('team lookup'!$A$3:$A$97 &lt;= A385) * (IF('team lookup'!$B$3:$B$97 = "", 9999, 'team lookup'!$B$3:$B$97) &gt;= A385),
    'team lookup'!$E$3:$E$97,
    "Other"
)</f>
        <v>SEC</v>
      </c>
      <c r="E385">
        <f t="shared" si="10"/>
        <v>1</v>
      </c>
      <c r="F385">
        <f t="shared" si="11"/>
        <v>1</v>
      </c>
    </row>
    <row r="386" spans="1:6" x14ac:dyDescent="0.35">
      <c r="A386">
        <v>2018</v>
      </c>
      <c r="B386">
        <v>288</v>
      </c>
      <c r="C386" t="s">
        <v>128</v>
      </c>
      <c r="D386" t="str" cm="1">
        <f t="array" ref="D386">_xlfn.XLOOKUP(1,
    ('team lookup'!$C$3:$C$97 = B386) * ('team lookup'!$A$3:$A$97 &lt;= A386) * (IF('team lookup'!$B$3:$B$97 = "", 9999, 'team lookup'!$B$3:$B$97) &gt;= A386),
    'team lookup'!$E$3:$E$97,
    "Other"
)</f>
        <v>Other</v>
      </c>
      <c r="E386">
        <f t="shared" si="10"/>
        <v>0</v>
      </c>
      <c r="F386">
        <f t="shared" si="11"/>
        <v>0</v>
      </c>
    </row>
    <row r="387" spans="1:6" x14ac:dyDescent="0.35">
      <c r="A387">
        <v>2018</v>
      </c>
      <c r="B387">
        <v>112358</v>
      </c>
      <c r="C387" t="s">
        <v>74</v>
      </c>
      <c r="D387" t="str" cm="1">
        <f t="array" ref="D387">_xlfn.XLOOKUP(1,
    ('team lookup'!$C$3:$C$97 = B387) * ('team lookup'!$A$3:$A$97 &lt;= A387) * (IF('team lookup'!$B$3:$B$97 = "", 9999, 'team lookup'!$B$3:$B$97) &gt;= A387),
    'team lookup'!$E$3:$E$97,
    "Other"
)</f>
        <v>Other</v>
      </c>
      <c r="E387">
        <f t="shared" ref="E387:E450" si="12">IF(OR(D387="ACC", D387="SEC", D387="Big12"), 1,0)</f>
        <v>0</v>
      </c>
      <c r="F387">
        <f t="shared" ref="F387:F450" si="13">IF(D387&lt;&gt;"Other", 1,0)</f>
        <v>0</v>
      </c>
    </row>
    <row r="388" spans="1:6" x14ac:dyDescent="0.35">
      <c r="A388">
        <v>2018</v>
      </c>
      <c r="B388">
        <v>2350</v>
      </c>
      <c r="C388" t="s">
        <v>129</v>
      </c>
      <c r="D388" t="str" cm="1">
        <f t="array" ref="D388">_xlfn.XLOOKUP(1,
    ('team lookup'!$C$3:$C$97 = B388) * ('team lookup'!$A$3:$A$97 &lt;= A388) * (IF('team lookup'!$B$3:$B$97 = "", 9999, 'team lookup'!$B$3:$B$97) &gt;= A388),
    'team lookup'!$E$3:$E$97,
    "Other"
)</f>
        <v>Other</v>
      </c>
      <c r="E388">
        <f t="shared" si="12"/>
        <v>0</v>
      </c>
      <c r="F388">
        <f t="shared" si="13"/>
        <v>0</v>
      </c>
    </row>
    <row r="389" spans="1:6" x14ac:dyDescent="0.35">
      <c r="A389">
        <v>2018</v>
      </c>
      <c r="B389">
        <v>276</v>
      </c>
      <c r="C389" t="s">
        <v>130</v>
      </c>
      <c r="D389" t="str" cm="1">
        <f t="array" ref="D389">_xlfn.XLOOKUP(1,
    ('team lookup'!$C$3:$C$97 = B389) * ('team lookup'!$A$3:$A$97 &lt;= A389) * (IF('team lookup'!$B$3:$B$97 = "", 9999, 'team lookup'!$B$3:$B$97) &gt;= A389),
    'team lookup'!$E$3:$E$97,
    "Other"
)</f>
        <v>Other</v>
      </c>
      <c r="E389">
        <f t="shared" si="12"/>
        <v>0</v>
      </c>
      <c r="F389">
        <f t="shared" si="13"/>
        <v>0</v>
      </c>
    </row>
    <row r="390" spans="1:6" x14ac:dyDescent="0.35">
      <c r="A390">
        <v>2018</v>
      </c>
      <c r="B390">
        <v>2390</v>
      </c>
      <c r="C390" t="s">
        <v>30</v>
      </c>
      <c r="D390" t="str" cm="1">
        <f t="array" ref="D390">_xlfn.XLOOKUP(1,
    ('team lookup'!$C$3:$C$97 = B390) * ('team lookup'!$A$3:$A$97 &lt;= A390) * (IF('team lookup'!$B$3:$B$97 = "", 9999, 'team lookup'!$B$3:$B$97) &gt;= A390),
    'team lookup'!$E$3:$E$97,
    "Other"
)</f>
        <v>ACC</v>
      </c>
      <c r="E390">
        <f t="shared" si="12"/>
        <v>1</v>
      </c>
      <c r="F390">
        <f t="shared" si="13"/>
        <v>1</v>
      </c>
    </row>
    <row r="391" spans="1:6" x14ac:dyDescent="0.35">
      <c r="A391">
        <v>2018</v>
      </c>
      <c r="B391">
        <v>130</v>
      </c>
      <c r="C391" t="s">
        <v>52</v>
      </c>
      <c r="D391" t="str" cm="1">
        <f t="array" ref="D391">_xlfn.XLOOKUP(1,
    ('team lookup'!$C$3:$C$97 = B391) * ('team lookup'!$A$3:$A$97 &lt;= A391) * (IF('team lookup'!$B$3:$B$97 = "", 9999, 'team lookup'!$B$3:$B$97) &gt;= A391),
    'team lookup'!$E$3:$E$97,
    "Other"
)</f>
        <v>Big Ten</v>
      </c>
      <c r="E391">
        <f t="shared" si="12"/>
        <v>0</v>
      </c>
      <c r="F391">
        <f t="shared" si="13"/>
        <v>1</v>
      </c>
    </row>
    <row r="392" spans="1:6" x14ac:dyDescent="0.35">
      <c r="A392">
        <v>2018</v>
      </c>
      <c r="B392">
        <v>127</v>
      </c>
      <c r="C392" t="s">
        <v>31</v>
      </c>
      <c r="D392" t="str" cm="1">
        <f t="array" ref="D392">_xlfn.XLOOKUP(1,
    ('team lookup'!$C$3:$C$97 = B392) * ('team lookup'!$A$3:$A$97 &lt;= A392) * (IF('team lookup'!$B$3:$B$97 = "", 9999, 'team lookup'!$B$3:$B$97) &gt;= A392),
    'team lookup'!$E$3:$E$97,
    "Other"
)</f>
        <v>Big Ten</v>
      </c>
      <c r="E392">
        <f t="shared" si="12"/>
        <v>0</v>
      </c>
      <c r="F392">
        <f t="shared" si="13"/>
        <v>1</v>
      </c>
    </row>
    <row r="393" spans="1:6" x14ac:dyDescent="0.35">
      <c r="A393">
        <v>2018</v>
      </c>
      <c r="B393">
        <v>142</v>
      </c>
      <c r="C393" t="s">
        <v>54</v>
      </c>
      <c r="D393" t="str" cm="1">
        <f t="array" ref="D393">_xlfn.XLOOKUP(1,
    ('team lookup'!$C$3:$C$97 = B393) * ('team lookup'!$A$3:$A$97 &lt;= A393) * (IF('team lookup'!$B$3:$B$97 = "", 9999, 'team lookup'!$B$3:$B$97) &gt;= A393),
    'team lookup'!$E$3:$E$97,
    "Other"
)</f>
        <v>SEC</v>
      </c>
      <c r="E393">
        <f t="shared" si="12"/>
        <v>1</v>
      </c>
      <c r="F393">
        <f t="shared" si="13"/>
        <v>1</v>
      </c>
    </row>
    <row r="394" spans="1:6" x14ac:dyDescent="0.35">
      <c r="A394">
        <v>2018</v>
      </c>
      <c r="B394">
        <v>149</v>
      </c>
      <c r="C394" t="s">
        <v>62</v>
      </c>
      <c r="D394" t="str" cm="1">
        <f t="array" ref="D394">_xlfn.XLOOKUP(1,
    ('team lookup'!$C$3:$C$97 = B394) * ('team lookup'!$A$3:$A$97 &lt;= A394) * (IF('team lookup'!$B$3:$B$97 = "", 9999, 'team lookup'!$B$3:$B$97) &gt;= A394),
    'team lookup'!$E$3:$E$97,
    "Other"
)</f>
        <v>Other</v>
      </c>
      <c r="E394">
        <f t="shared" si="12"/>
        <v>0</v>
      </c>
      <c r="F394">
        <f t="shared" si="13"/>
        <v>0</v>
      </c>
    </row>
    <row r="395" spans="1:6" x14ac:dyDescent="0.35">
      <c r="A395">
        <v>2018</v>
      </c>
      <c r="B395">
        <v>93</v>
      </c>
      <c r="C395" t="s">
        <v>63</v>
      </c>
      <c r="D395" t="str" cm="1">
        <f t="array" ref="D395">_xlfn.XLOOKUP(1,
    ('team lookup'!$C$3:$C$97 = B395) * ('team lookup'!$A$3:$A$97 &lt;= A395) * (IF('team lookup'!$B$3:$B$97 = "", 9999, 'team lookup'!$B$3:$B$97) &gt;= A395),
    'team lookup'!$E$3:$E$97,
    "Other"
)</f>
        <v>Other</v>
      </c>
      <c r="E395">
        <f t="shared" si="12"/>
        <v>0</v>
      </c>
      <c r="F395">
        <f t="shared" si="13"/>
        <v>0</v>
      </c>
    </row>
    <row r="396" spans="1:6" x14ac:dyDescent="0.35">
      <c r="A396">
        <v>2018</v>
      </c>
      <c r="B396">
        <v>2428</v>
      </c>
      <c r="C396" t="s">
        <v>107</v>
      </c>
      <c r="D396" t="str" cm="1">
        <f t="array" ref="D396">_xlfn.XLOOKUP(1,
    ('team lookup'!$C$3:$C$97 = B396) * ('team lookup'!$A$3:$A$97 &lt;= A396) * (IF('team lookup'!$B$3:$B$97 = "", 9999, 'team lookup'!$B$3:$B$97) &gt;= A396),
    'team lookup'!$E$3:$E$97,
    "Other"
)</f>
        <v>Other</v>
      </c>
      <c r="E396">
        <f t="shared" si="12"/>
        <v>0</v>
      </c>
      <c r="F396">
        <f t="shared" si="13"/>
        <v>0</v>
      </c>
    </row>
    <row r="397" spans="1:6" x14ac:dyDescent="0.35">
      <c r="A397">
        <v>2018</v>
      </c>
      <c r="B397">
        <v>152</v>
      </c>
      <c r="C397" t="s">
        <v>90</v>
      </c>
      <c r="D397" t="str" cm="1">
        <f t="array" ref="D397">_xlfn.XLOOKUP(1,
    ('team lookup'!$C$3:$C$97 = B397) * ('team lookup'!$A$3:$A$97 &lt;= A397) * (IF('team lookup'!$B$3:$B$97 = "", 9999, 'team lookup'!$B$3:$B$97) &gt;= A397),
    'team lookup'!$E$3:$E$97,
    "Other"
)</f>
        <v>ACC</v>
      </c>
      <c r="E397">
        <f t="shared" si="12"/>
        <v>1</v>
      </c>
      <c r="F397">
        <f t="shared" si="13"/>
        <v>1</v>
      </c>
    </row>
    <row r="398" spans="1:6" x14ac:dyDescent="0.35">
      <c r="A398">
        <v>2018</v>
      </c>
      <c r="B398">
        <v>2440</v>
      </c>
      <c r="C398" t="s">
        <v>125</v>
      </c>
      <c r="D398" t="str" cm="1">
        <f t="array" ref="D398">_xlfn.XLOOKUP(1,
    ('team lookup'!$C$3:$C$97 = B398) * ('team lookup'!$A$3:$A$97 &lt;= A398) * (IF('team lookup'!$B$3:$B$97 = "", 9999, 'team lookup'!$B$3:$B$97) &gt;= A398),
    'team lookup'!$E$3:$E$97,
    "Other"
)</f>
        <v>Other</v>
      </c>
      <c r="E398">
        <f t="shared" si="12"/>
        <v>0</v>
      </c>
      <c r="F398">
        <f t="shared" si="13"/>
        <v>0</v>
      </c>
    </row>
    <row r="399" spans="1:6" x14ac:dyDescent="0.35">
      <c r="A399">
        <v>2019</v>
      </c>
      <c r="B399">
        <v>2000</v>
      </c>
      <c r="C399" t="s">
        <v>131</v>
      </c>
      <c r="D399" t="str" cm="1">
        <f t="array" ref="D399">_xlfn.XLOOKUP(1,
    ('team lookup'!$C$3:$C$97 = B399) * ('team lookup'!$A$3:$A$97 &lt;= A399) * (IF('team lookup'!$B$3:$B$97 = "", 9999, 'team lookup'!$B$3:$B$97) &gt;= A399),
    'team lookup'!$E$3:$E$97,
    "Other"
)</f>
        <v>Other</v>
      </c>
      <c r="E399">
        <f t="shared" si="12"/>
        <v>0</v>
      </c>
      <c r="F399">
        <f t="shared" si="13"/>
        <v>0</v>
      </c>
    </row>
    <row r="400" spans="1:6" x14ac:dyDescent="0.35">
      <c r="A400">
        <v>2019</v>
      </c>
      <c r="B400">
        <v>9</v>
      </c>
      <c r="C400" t="s">
        <v>39</v>
      </c>
      <c r="D400" t="str" cm="1">
        <f t="array" ref="D400">_xlfn.XLOOKUP(1,
    ('team lookup'!$C$3:$C$97 = B400) * ('team lookup'!$A$3:$A$97 &lt;= A400) * (IF('team lookup'!$B$3:$B$97 = "", 9999, 'team lookup'!$B$3:$B$97) &gt;= A400),
    'team lookup'!$E$3:$E$97,
    "Other"
)</f>
        <v>Other</v>
      </c>
      <c r="E400">
        <f t="shared" si="12"/>
        <v>0</v>
      </c>
      <c r="F400">
        <f t="shared" si="13"/>
        <v>0</v>
      </c>
    </row>
    <row r="401" spans="1:6" x14ac:dyDescent="0.35">
      <c r="A401">
        <v>2019</v>
      </c>
      <c r="B401">
        <v>2</v>
      </c>
      <c r="C401" t="s">
        <v>126</v>
      </c>
      <c r="D401" t="str" cm="1">
        <f t="array" ref="D401">_xlfn.XLOOKUP(1,
    ('team lookup'!$C$3:$C$97 = B401) * ('team lookup'!$A$3:$A$97 &lt;= A401) * (IF('team lookup'!$B$3:$B$97 = "", 9999, 'team lookup'!$B$3:$B$97) &gt;= A401),
    'team lookup'!$E$3:$E$97,
    "Other"
)</f>
        <v>SEC</v>
      </c>
      <c r="E401">
        <f t="shared" si="12"/>
        <v>1</v>
      </c>
      <c r="F401">
        <f t="shared" si="13"/>
        <v>1</v>
      </c>
    </row>
    <row r="402" spans="1:6" x14ac:dyDescent="0.35">
      <c r="A402">
        <v>2019</v>
      </c>
      <c r="B402">
        <v>239</v>
      </c>
      <c r="C402" t="s">
        <v>7</v>
      </c>
      <c r="D402" t="str" cm="1">
        <f t="array" ref="D402">_xlfn.XLOOKUP(1,
    ('team lookup'!$C$3:$C$97 = B402) * ('team lookup'!$A$3:$A$97 &lt;= A402) * (IF('team lookup'!$B$3:$B$97 = "", 9999, 'team lookup'!$B$3:$B$97) &gt;= A402),
    'team lookup'!$E$3:$E$97,
    "Other"
)</f>
        <v>Big12</v>
      </c>
      <c r="E402">
        <f t="shared" si="12"/>
        <v>1</v>
      </c>
      <c r="F402">
        <f t="shared" si="13"/>
        <v>1</v>
      </c>
    </row>
    <row r="403" spans="1:6" x14ac:dyDescent="0.35">
      <c r="A403">
        <v>2019</v>
      </c>
      <c r="B403">
        <v>2057</v>
      </c>
      <c r="C403" t="s">
        <v>8</v>
      </c>
      <c r="D403" t="str" cm="1">
        <f t="array" ref="D403">_xlfn.XLOOKUP(1,
    ('team lookup'!$C$3:$C$97 = B403) * ('team lookup'!$A$3:$A$97 &lt;= A403) * (IF('team lookup'!$B$3:$B$97 = "", 9999, 'team lookup'!$B$3:$B$97) &gt;= A403),
    'team lookup'!$E$3:$E$97,
    "Other"
)</f>
        <v>Other</v>
      </c>
      <c r="E403">
        <f t="shared" si="12"/>
        <v>0</v>
      </c>
      <c r="F403">
        <f t="shared" si="13"/>
        <v>0</v>
      </c>
    </row>
    <row r="404" spans="1:6" x14ac:dyDescent="0.35">
      <c r="A404">
        <v>2019</v>
      </c>
      <c r="B404">
        <v>71</v>
      </c>
      <c r="C404" t="s">
        <v>132</v>
      </c>
      <c r="D404" t="str" cm="1">
        <f t="array" ref="D404">_xlfn.XLOOKUP(1,
    ('team lookup'!$C$3:$C$97 = B404) * ('team lookup'!$A$3:$A$97 &lt;= A404) * (IF('team lookup'!$B$3:$B$97 = "", 9999, 'team lookup'!$B$3:$B$97) &gt;= A404),
    'team lookup'!$E$3:$E$97,
    "Other"
)</f>
        <v>Other</v>
      </c>
      <c r="E404">
        <f t="shared" si="12"/>
        <v>0</v>
      </c>
      <c r="F404">
        <f t="shared" si="13"/>
        <v>0</v>
      </c>
    </row>
    <row r="405" spans="1:6" x14ac:dyDescent="0.35">
      <c r="A405">
        <v>2019</v>
      </c>
      <c r="B405">
        <v>2084</v>
      </c>
      <c r="C405" t="s">
        <v>109</v>
      </c>
      <c r="D405" t="str" cm="1">
        <f t="array" ref="D405">_xlfn.XLOOKUP(1,
    ('team lookup'!$C$3:$C$97 = B405) * ('team lookup'!$A$3:$A$97 &lt;= A405) * (IF('team lookup'!$B$3:$B$97 = "", 9999, 'team lookup'!$B$3:$B$97) &gt;= A405),
    'team lookup'!$E$3:$E$97,
    "Other"
)</f>
        <v>Other</v>
      </c>
      <c r="E405">
        <f t="shared" si="12"/>
        <v>0</v>
      </c>
      <c r="F405">
        <f t="shared" si="13"/>
        <v>0</v>
      </c>
    </row>
    <row r="406" spans="1:6" x14ac:dyDescent="0.35">
      <c r="A406">
        <v>2019</v>
      </c>
      <c r="B406">
        <v>2132</v>
      </c>
      <c r="C406" t="s">
        <v>70</v>
      </c>
      <c r="D406" t="str" cm="1">
        <f t="array" ref="D406">_xlfn.XLOOKUP(1,
    ('team lookup'!$C$3:$C$97 = B406) * ('team lookup'!$A$3:$A$97 &lt;= A406) * (IF('team lookup'!$B$3:$B$97 = "", 9999, 'team lookup'!$B$3:$B$97) &gt;= A406),
    'team lookup'!$E$3:$E$97,
    "Other"
)</f>
        <v>Other</v>
      </c>
      <c r="E406">
        <f t="shared" si="12"/>
        <v>0</v>
      </c>
      <c r="F406">
        <f t="shared" si="13"/>
        <v>0</v>
      </c>
    </row>
    <row r="407" spans="1:6" x14ac:dyDescent="0.35">
      <c r="A407">
        <v>2019</v>
      </c>
      <c r="B407">
        <v>2142</v>
      </c>
      <c r="C407" t="s">
        <v>133</v>
      </c>
      <c r="D407" t="str" cm="1">
        <f t="array" ref="D407">_xlfn.XLOOKUP(1,
    ('team lookup'!$C$3:$C$97 = B407) * ('team lookup'!$A$3:$A$97 &lt;= A407) * (IF('team lookup'!$B$3:$B$97 = "", 9999, 'team lookup'!$B$3:$B$97) &gt;= A407),
    'team lookup'!$E$3:$E$97,
    "Other"
)</f>
        <v>Other</v>
      </c>
      <c r="E407">
        <f t="shared" si="12"/>
        <v>0</v>
      </c>
      <c r="F407">
        <f t="shared" si="13"/>
        <v>0</v>
      </c>
    </row>
    <row r="408" spans="1:6" x14ac:dyDescent="0.35">
      <c r="A408">
        <v>2019</v>
      </c>
      <c r="B408">
        <v>150</v>
      </c>
      <c r="C408" t="s">
        <v>16</v>
      </c>
      <c r="D408" t="str" cm="1">
        <f t="array" ref="D408">_xlfn.XLOOKUP(1,
    ('team lookup'!$C$3:$C$97 = B408) * ('team lookup'!$A$3:$A$97 &lt;= A408) * (IF('team lookup'!$B$3:$B$97 = "", 9999, 'team lookup'!$B$3:$B$97) &gt;= A408),
    'team lookup'!$E$3:$E$97,
    "Other"
)</f>
        <v>ACC</v>
      </c>
      <c r="E408">
        <f t="shared" si="12"/>
        <v>1</v>
      </c>
      <c r="F408">
        <f t="shared" si="13"/>
        <v>1</v>
      </c>
    </row>
    <row r="409" spans="1:6" x14ac:dyDescent="0.35">
      <c r="A409">
        <v>2019</v>
      </c>
      <c r="B409">
        <v>161</v>
      </c>
      <c r="C409" t="s">
        <v>115</v>
      </c>
      <c r="D409" t="str" cm="1">
        <f t="array" ref="D409">_xlfn.XLOOKUP(1,
    ('team lookup'!$C$3:$C$97 = B409) * ('team lookup'!$A$3:$A$97 &lt;= A409) * (IF('team lookup'!$B$3:$B$97 = "", 9999, 'team lookup'!$B$3:$B$97) &gt;= A409),
    'team lookup'!$E$3:$E$97,
    "Other"
)</f>
        <v>Other</v>
      </c>
      <c r="E409">
        <f t="shared" si="12"/>
        <v>0</v>
      </c>
      <c r="F409">
        <f t="shared" si="13"/>
        <v>0</v>
      </c>
    </row>
    <row r="410" spans="1:6" x14ac:dyDescent="0.35">
      <c r="A410">
        <v>2019</v>
      </c>
      <c r="B410">
        <v>57</v>
      </c>
      <c r="C410" t="s">
        <v>58</v>
      </c>
      <c r="D410" t="str" cm="1">
        <f t="array" ref="D410">_xlfn.XLOOKUP(1,
    ('team lookup'!$C$3:$C$97 = B410) * ('team lookup'!$A$3:$A$97 &lt;= A410) * (IF('team lookup'!$B$3:$B$97 = "", 9999, 'team lookup'!$B$3:$B$97) &gt;= A410),
    'team lookup'!$E$3:$E$97,
    "Other"
)</f>
        <v>SEC</v>
      </c>
      <c r="E410">
        <f t="shared" si="12"/>
        <v>1</v>
      </c>
      <c r="F410">
        <f t="shared" si="13"/>
        <v>1</v>
      </c>
    </row>
    <row r="411" spans="1:6" x14ac:dyDescent="0.35">
      <c r="A411">
        <v>2019</v>
      </c>
      <c r="B411">
        <v>52</v>
      </c>
      <c r="C411" t="s">
        <v>48</v>
      </c>
      <c r="D411" t="str" cm="1">
        <f t="array" ref="D411">_xlfn.XLOOKUP(1,
    ('team lookup'!$C$3:$C$97 = B411) * ('team lookup'!$A$3:$A$97 &lt;= A411) * (IF('team lookup'!$B$3:$B$97 = "", 9999, 'team lookup'!$B$3:$B$97) &gt;= A411),
    'team lookup'!$E$3:$E$97,
    "Other"
)</f>
        <v>ACC</v>
      </c>
      <c r="E411">
        <f t="shared" si="12"/>
        <v>1</v>
      </c>
      <c r="F411">
        <f t="shared" si="13"/>
        <v>1</v>
      </c>
    </row>
    <row r="412" spans="1:6" x14ac:dyDescent="0.35">
      <c r="A412">
        <v>2019</v>
      </c>
      <c r="B412">
        <v>2241</v>
      </c>
      <c r="C412" t="s">
        <v>134</v>
      </c>
      <c r="D412" t="str" cm="1">
        <f t="array" ref="D412">_xlfn.XLOOKUP(1,
    ('team lookup'!$C$3:$C$97 = B412) * ('team lookup'!$A$3:$A$97 &lt;= A412) * (IF('team lookup'!$B$3:$B$97 = "", 9999, 'team lookup'!$B$3:$B$97) &gt;= A412),
    'team lookup'!$E$3:$E$97,
    "Other"
)</f>
        <v>Other</v>
      </c>
      <c r="E412">
        <f t="shared" si="12"/>
        <v>0</v>
      </c>
      <c r="F412">
        <f t="shared" si="13"/>
        <v>0</v>
      </c>
    </row>
    <row r="413" spans="1:6" x14ac:dyDescent="0.35">
      <c r="A413">
        <v>2019</v>
      </c>
      <c r="B413">
        <v>2247</v>
      </c>
      <c r="C413" t="s">
        <v>111</v>
      </c>
      <c r="D413" t="str" cm="1">
        <f t="array" ref="D413">_xlfn.XLOOKUP(1,
    ('team lookup'!$C$3:$C$97 = B413) * ('team lookup'!$A$3:$A$97 &lt;= A413) * (IF('team lookup'!$B$3:$B$97 = "", 9999, 'team lookup'!$B$3:$B$97) &gt;= A413),
    'team lookup'!$E$3:$E$97,
    "Other"
)</f>
        <v>Other</v>
      </c>
      <c r="E413">
        <f t="shared" si="12"/>
        <v>0</v>
      </c>
      <c r="F413">
        <f t="shared" si="13"/>
        <v>0</v>
      </c>
    </row>
    <row r="414" spans="1:6" x14ac:dyDescent="0.35">
      <c r="A414">
        <v>2019</v>
      </c>
      <c r="B414">
        <v>2250</v>
      </c>
      <c r="C414" t="s">
        <v>21</v>
      </c>
      <c r="D414" t="str" cm="1">
        <f t="array" ref="D414">_xlfn.XLOOKUP(1,
    ('team lookup'!$C$3:$C$97 = B414) * ('team lookup'!$A$3:$A$97 &lt;= A414) * (IF('team lookup'!$B$3:$B$97 = "", 9999, 'team lookup'!$B$3:$B$97) &gt;= A414),
    'team lookup'!$E$3:$E$97,
    "Other"
)</f>
        <v>Other</v>
      </c>
      <c r="E414">
        <f t="shared" si="12"/>
        <v>0</v>
      </c>
      <c r="F414">
        <f t="shared" si="13"/>
        <v>0</v>
      </c>
    </row>
    <row r="415" spans="1:6" x14ac:dyDescent="0.35">
      <c r="A415">
        <v>2019</v>
      </c>
      <c r="B415">
        <v>248</v>
      </c>
      <c r="C415" t="s">
        <v>60</v>
      </c>
      <c r="D415" t="str" cm="1">
        <f t="array" ref="D415">_xlfn.XLOOKUP(1,
    ('team lookup'!$C$3:$C$97 = B415) * ('team lookup'!$A$3:$A$97 &lt;= A415) * (IF('team lookup'!$B$3:$B$97 = "", 9999, 'team lookup'!$B$3:$B$97) &gt;= A415),
    'team lookup'!$E$3:$E$97,
    "Other"
)</f>
        <v>Other</v>
      </c>
      <c r="E415">
        <f t="shared" si="12"/>
        <v>0</v>
      </c>
      <c r="F415">
        <f t="shared" si="13"/>
        <v>0</v>
      </c>
    </row>
    <row r="416" spans="1:6" x14ac:dyDescent="0.35">
      <c r="A416">
        <v>2019</v>
      </c>
      <c r="B416">
        <v>314</v>
      </c>
      <c r="C416" t="s">
        <v>85</v>
      </c>
      <c r="D416" t="str" cm="1">
        <f t="array" ref="D416">_xlfn.XLOOKUP(1,
    ('team lookup'!$C$3:$C$97 = B416) * ('team lookup'!$A$3:$A$97 &lt;= A416) * (IF('team lookup'!$B$3:$B$97 = "", 9999, 'team lookup'!$B$3:$B$97) &gt;= A416),
    'team lookup'!$E$3:$E$97,
    "Other"
)</f>
        <v>Other</v>
      </c>
      <c r="E416">
        <f t="shared" si="12"/>
        <v>0</v>
      </c>
      <c r="F416">
        <f t="shared" si="13"/>
        <v>0</v>
      </c>
    </row>
    <row r="417" spans="1:6" x14ac:dyDescent="0.35">
      <c r="A417">
        <v>2019</v>
      </c>
      <c r="B417">
        <v>2294</v>
      </c>
      <c r="C417" t="s">
        <v>101</v>
      </c>
      <c r="D417" t="str" cm="1">
        <f t="array" ref="D417">_xlfn.XLOOKUP(1,
    ('team lookup'!$C$3:$C$97 = B417) * ('team lookup'!$A$3:$A$97 &lt;= A417) * (IF('team lookup'!$B$3:$B$97 = "", 9999, 'team lookup'!$B$3:$B$97) &gt;= A417),
    'team lookup'!$E$3:$E$97,
    "Other"
)</f>
        <v>Big Ten</v>
      </c>
      <c r="E417">
        <f t="shared" si="12"/>
        <v>0</v>
      </c>
      <c r="F417">
        <f t="shared" si="13"/>
        <v>1</v>
      </c>
    </row>
    <row r="418" spans="1:6" x14ac:dyDescent="0.35">
      <c r="A418">
        <v>2019</v>
      </c>
      <c r="B418">
        <v>66</v>
      </c>
      <c r="C418" t="s">
        <v>86</v>
      </c>
      <c r="D418" t="str" cm="1">
        <f t="array" ref="D418">_xlfn.XLOOKUP(1,
    ('team lookup'!$C$3:$C$97 = B418) * ('team lookup'!$A$3:$A$97 &lt;= A418) * (IF('team lookup'!$B$3:$B$97 = "", 9999, 'team lookup'!$B$3:$B$97) &gt;= A418),
    'team lookup'!$E$3:$E$97,
    "Other"
)</f>
        <v>Big12</v>
      </c>
      <c r="E418">
        <f t="shared" si="12"/>
        <v>1</v>
      </c>
      <c r="F418">
        <f t="shared" si="13"/>
        <v>1</v>
      </c>
    </row>
    <row r="419" spans="1:6" x14ac:dyDescent="0.35">
      <c r="A419">
        <v>2019</v>
      </c>
      <c r="B419">
        <v>2305</v>
      </c>
      <c r="C419" t="s">
        <v>23</v>
      </c>
      <c r="D419" t="str" cm="1">
        <f t="array" ref="D419">_xlfn.XLOOKUP(1,
    ('team lookup'!$C$3:$C$97 = B419) * ('team lookup'!$A$3:$A$97 &lt;= A419) * (IF('team lookup'!$B$3:$B$97 = "", 9999, 'team lookup'!$B$3:$B$97) &gt;= A419),
    'team lookup'!$E$3:$E$97,
    "Other"
)</f>
        <v>Big12</v>
      </c>
      <c r="E419">
        <f t="shared" si="12"/>
        <v>1</v>
      </c>
      <c r="F419">
        <f t="shared" si="13"/>
        <v>1</v>
      </c>
    </row>
    <row r="420" spans="1:6" x14ac:dyDescent="0.35">
      <c r="A420">
        <v>2019</v>
      </c>
      <c r="B420">
        <v>2306</v>
      </c>
      <c r="C420" t="s">
        <v>24</v>
      </c>
      <c r="D420" t="str" cm="1">
        <f t="array" ref="D420">_xlfn.XLOOKUP(1,
    ('team lookup'!$C$3:$C$97 = B420) * ('team lookup'!$A$3:$A$97 &lt;= A420) * (IF('team lookup'!$B$3:$B$97 = "", 9999, 'team lookup'!$B$3:$B$97) &gt;= A420),
    'team lookup'!$E$3:$E$97,
    "Other"
)</f>
        <v>Big12</v>
      </c>
      <c r="E420">
        <f t="shared" si="12"/>
        <v>1</v>
      </c>
      <c r="F420">
        <f t="shared" si="13"/>
        <v>1</v>
      </c>
    </row>
    <row r="421" spans="1:6" x14ac:dyDescent="0.35">
      <c r="A421">
        <v>2019</v>
      </c>
      <c r="B421">
        <v>96</v>
      </c>
      <c r="C421" t="s">
        <v>26</v>
      </c>
      <c r="D421" t="str" cm="1">
        <f t="array" ref="D421">_xlfn.XLOOKUP(1,
    ('team lookup'!$C$3:$C$97 = B421) * ('team lookup'!$A$3:$A$97 &lt;= A421) * (IF('team lookup'!$B$3:$B$97 = "", 9999, 'team lookup'!$B$3:$B$97) &gt;= A421),
    'team lookup'!$E$3:$E$97,
    "Other"
)</f>
        <v>SEC</v>
      </c>
      <c r="E421">
        <f t="shared" si="12"/>
        <v>1</v>
      </c>
      <c r="F421">
        <f t="shared" si="13"/>
        <v>1</v>
      </c>
    </row>
    <row r="422" spans="1:6" x14ac:dyDescent="0.35">
      <c r="A422">
        <v>2019</v>
      </c>
      <c r="B422">
        <v>2335</v>
      </c>
      <c r="C422" t="s">
        <v>95</v>
      </c>
      <c r="D422" t="str" cm="1">
        <f t="array" ref="D422">_xlfn.XLOOKUP(1,
    ('team lookup'!$C$3:$C$97 = B422) * ('team lookup'!$A$3:$A$97 &lt;= A422) * (IF('team lookup'!$B$3:$B$97 = "", 9999, 'team lookup'!$B$3:$B$97) &gt;= A422),
    'team lookup'!$E$3:$E$97,
    "Other"
)</f>
        <v>Other</v>
      </c>
      <c r="E422">
        <f t="shared" si="12"/>
        <v>0</v>
      </c>
      <c r="F422">
        <f t="shared" si="13"/>
        <v>0</v>
      </c>
    </row>
    <row r="423" spans="1:6" x14ac:dyDescent="0.35">
      <c r="A423">
        <v>2019</v>
      </c>
      <c r="B423">
        <v>97</v>
      </c>
      <c r="C423" t="s">
        <v>27</v>
      </c>
      <c r="D423" t="str" cm="1">
        <f t="array" ref="D423">_xlfn.XLOOKUP(1,
    ('team lookup'!$C$3:$C$97 = B423) * ('team lookup'!$A$3:$A$97 &lt;= A423) * (IF('team lookup'!$B$3:$B$97 = "", 9999, 'team lookup'!$B$3:$B$97) &gt;= A423),
    'team lookup'!$E$3:$E$97,
    "Other"
)</f>
        <v>ACC</v>
      </c>
      <c r="E423">
        <f t="shared" si="12"/>
        <v>1</v>
      </c>
      <c r="F423">
        <f t="shared" si="13"/>
        <v>1</v>
      </c>
    </row>
    <row r="424" spans="1:6" x14ac:dyDescent="0.35">
      <c r="A424">
        <v>2019</v>
      </c>
      <c r="B424">
        <v>99</v>
      </c>
      <c r="C424" t="s">
        <v>50</v>
      </c>
      <c r="D424" t="str" cm="1">
        <f t="array" ref="D424">_xlfn.XLOOKUP(1,
    ('team lookup'!$C$3:$C$97 = B424) * ('team lookup'!$A$3:$A$97 &lt;= A424) * (IF('team lookup'!$B$3:$B$97 = "", 9999, 'team lookup'!$B$3:$B$97) &gt;= A424),
    'team lookup'!$E$3:$E$97,
    "Other"
)</f>
        <v>SEC</v>
      </c>
      <c r="E424">
        <f t="shared" si="12"/>
        <v>1</v>
      </c>
      <c r="F424">
        <f t="shared" si="13"/>
        <v>1</v>
      </c>
    </row>
    <row r="425" spans="1:6" x14ac:dyDescent="0.35">
      <c r="A425">
        <v>2019</v>
      </c>
      <c r="B425">
        <v>269</v>
      </c>
      <c r="C425" t="s">
        <v>28</v>
      </c>
      <c r="D425" t="str" cm="1">
        <f t="array" ref="D425">_xlfn.XLOOKUP(1,
    ('team lookup'!$C$3:$C$97 = B425) * ('team lookup'!$A$3:$A$97 &lt;= A425) * (IF('team lookup'!$B$3:$B$97 = "", 9999, 'team lookup'!$B$3:$B$97) &gt;= A425),
    'team lookup'!$E$3:$E$97,
    "Other"
)</f>
        <v>Big East</v>
      </c>
      <c r="E425">
        <f t="shared" si="12"/>
        <v>0</v>
      </c>
      <c r="F425">
        <f t="shared" si="13"/>
        <v>1</v>
      </c>
    </row>
    <row r="426" spans="1:6" x14ac:dyDescent="0.35">
      <c r="A426">
        <v>2019</v>
      </c>
      <c r="B426">
        <v>120</v>
      </c>
      <c r="C426" t="s">
        <v>51</v>
      </c>
      <c r="D426" t="str" cm="1">
        <f t="array" ref="D426">_xlfn.XLOOKUP(1,
    ('team lookup'!$C$3:$C$97 = B426) * ('team lookup'!$A$3:$A$97 &lt;= A426) * (IF('team lookup'!$B$3:$B$97 = "", 9999, 'team lookup'!$B$3:$B$97) &gt;= A426),
    'team lookup'!$E$3:$E$97,
    "Other"
)</f>
        <v>Big Ten</v>
      </c>
      <c r="E426">
        <f t="shared" si="12"/>
        <v>0</v>
      </c>
      <c r="F426">
        <f t="shared" si="13"/>
        <v>1</v>
      </c>
    </row>
    <row r="427" spans="1:6" x14ac:dyDescent="0.35">
      <c r="A427">
        <v>2019</v>
      </c>
      <c r="B427">
        <v>130</v>
      </c>
      <c r="C427" t="s">
        <v>52</v>
      </c>
      <c r="D427" t="str" cm="1">
        <f t="array" ref="D427">_xlfn.XLOOKUP(1,
    ('team lookup'!$C$3:$C$97 = B427) * ('team lookup'!$A$3:$A$97 &lt;= A427) * (IF('team lookup'!$B$3:$B$97 = "", 9999, 'team lookup'!$B$3:$B$97) &gt;= A427),
    'team lookup'!$E$3:$E$97,
    "Other"
)</f>
        <v>Big Ten</v>
      </c>
      <c r="E427">
        <f t="shared" si="12"/>
        <v>0</v>
      </c>
      <c r="F427">
        <f t="shared" si="13"/>
        <v>1</v>
      </c>
    </row>
    <row r="428" spans="1:6" x14ac:dyDescent="0.35">
      <c r="A428">
        <v>2019</v>
      </c>
      <c r="B428">
        <v>127</v>
      </c>
      <c r="C428" t="s">
        <v>31</v>
      </c>
      <c r="D428" t="str" cm="1">
        <f t="array" ref="D428">_xlfn.XLOOKUP(1,
    ('team lookup'!$C$3:$C$97 = B428) * ('team lookup'!$A$3:$A$97 &lt;= A428) * (IF('team lookup'!$B$3:$B$97 = "", 9999, 'team lookup'!$B$3:$B$97) &gt;= A428),
    'team lookup'!$E$3:$E$97,
    "Other"
)</f>
        <v>Big Ten</v>
      </c>
      <c r="E428">
        <f t="shared" si="12"/>
        <v>0</v>
      </c>
      <c r="F428">
        <f t="shared" si="13"/>
        <v>1</v>
      </c>
    </row>
    <row r="429" spans="1:6" x14ac:dyDescent="0.35">
      <c r="A429">
        <v>2019</v>
      </c>
      <c r="B429">
        <v>135</v>
      </c>
      <c r="C429" t="s">
        <v>53</v>
      </c>
      <c r="D429" t="str" cm="1">
        <f t="array" ref="D429">_xlfn.XLOOKUP(1,
    ('team lookup'!$C$3:$C$97 = B429) * ('team lookup'!$A$3:$A$97 &lt;= A429) * (IF('team lookup'!$B$3:$B$97 = "", 9999, 'team lookup'!$B$3:$B$97) &gt;= A429),
    'team lookup'!$E$3:$E$97,
    "Other"
)</f>
        <v>Big Ten</v>
      </c>
      <c r="E429">
        <f t="shared" si="12"/>
        <v>0</v>
      </c>
      <c r="F429">
        <f t="shared" si="13"/>
        <v>1</v>
      </c>
    </row>
    <row r="430" spans="1:6" x14ac:dyDescent="0.35">
      <c r="A430">
        <v>2019</v>
      </c>
      <c r="B430">
        <v>344</v>
      </c>
      <c r="C430" t="s">
        <v>33</v>
      </c>
      <c r="D430" t="str" cm="1">
        <f t="array" ref="D430">_xlfn.XLOOKUP(1,
    ('team lookup'!$C$3:$C$97 = B430) * ('team lookup'!$A$3:$A$97 &lt;= A430) * (IF('team lookup'!$B$3:$B$97 = "", 9999, 'team lookup'!$B$3:$B$97) &gt;= A430),
    'team lookup'!$E$3:$E$97,
    "Other"
)</f>
        <v>SEC</v>
      </c>
      <c r="E430">
        <f t="shared" si="12"/>
        <v>1</v>
      </c>
      <c r="F430">
        <f t="shared" si="13"/>
        <v>1</v>
      </c>
    </row>
    <row r="431" spans="1:6" x14ac:dyDescent="0.35">
      <c r="A431">
        <v>2019</v>
      </c>
      <c r="B431">
        <v>149</v>
      </c>
      <c r="C431" t="s">
        <v>62</v>
      </c>
      <c r="D431" t="str" cm="1">
        <f t="array" ref="D431">_xlfn.XLOOKUP(1,
    ('team lookup'!$C$3:$C$97 = B431) * ('team lookup'!$A$3:$A$97 &lt;= A431) * (IF('team lookup'!$B$3:$B$97 = "", 9999, 'team lookup'!$B$3:$B$97) &gt;= A431),
    'team lookup'!$E$3:$E$97,
    "Other"
)</f>
        <v>Other</v>
      </c>
      <c r="E431">
        <f t="shared" si="12"/>
        <v>0</v>
      </c>
      <c r="F431">
        <f t="shared" si="13"/>
        <v>0</v>
      </c>
    </row>
    <row r="432" spans="1:6" x14ac:dyDescent="0.35">
      <c r="A432">
        <v>2019</v>
      </c>
      <c r="B432">
        <v>93</v>
      </c>
      <c r="C432" t="s">
        <v>63</v>
      </c>
      <c r="D432" t="str" cm="1">
        <f t="array" ref="D432">_xlfn.XLOOKUP(1,
    ('team lookup'!$C$3:$C$97 = B432) * ('team lookup'!$A$3:$A$97 &lt;= A432) * (IF('team lookup'!$B$3:$B$97 = "", 9999, 'team lookup'!$B$3:$B$97) &gt;= A432),
    'team lookup'!$E$3:$E$97,
    "Other"
)</f>
        <v>Other</v>
      </c>
      <c r="E432">
        <f t="shared" si="12"/>
        <v>0</v>
      </c>
      <c r="F432">
        <f t="shared" si="13"/>
        <v>0</v>
      </c>
    </row>
    <row r="433" spans="1:6" x14ac:dyDescent="0.35">
      <c r="A433">
        <v>2019</v>
      </c>
      <c r="B433">
        <v>2449</v>
      </c>
      <c r="C433" t="s">
        <v>106</v>
      </c>
      <c r="D433" t="str" cm="1">
        <f t="array" ref="D433">_xlfn.XLOOKUP(1,
    ('team lookup'!$C$3:$C$97 = B433) * ('team lookup'!$A$3:$A$97 &lt;= A433) * (IF('team lookup'!$B$3:$B$97 = "", 9999, 'team lookup'!$B$3:$B$97) &gt;= A433),
    'team lookup'!$E$3:$E$97,
    "Other"
)</f>
        <v>Other</v>
      </c>
      <c r="E433">
        <f t="shared" si="12"/>
        <v>0</v>
      </c>
      <c r="F433">
        <f t="shared" si="13"/>
        <v>0</v>
      </c>
    </row>
    <row r="434" spans="1:6" x14ac:dyDescent="0.35">
      <c r="A434">
        <v>2019</v>
      </c>
      <c r="B434">
        <v>94</v>
      </c>
      <c r="C434" t="s">
        <v>124</v>
      </c>
      <c r="D434" t="str" cm="1">
        <f t="array" ref="D434">_xlfn.XLOOKUP(1,
    ('team lookup'!$C$3:$C$97 = B434) * ('team lookup'!$A$3:$A$97 &lt;= A434) * (IF('team lookup'!$B$3:$B$97 = "", 9999, 'team lookup'!$B$3:$B$97) &gt;= A434),
    'team lookup'!$E$3:$E$97,
    "Other"
)</f>
        <v>Other</v>
      </c>
      <c r="E434">
        <f t="shared" si="12"/>
        <v>0</v>
      </c>
      <c r="F434">
        <f t="shared" si="13"/>
        <v>0</v>
      </c>
    </row>
    <row r="435" spans="1:6" x14ac:dyDescent="0.35">
      <c r="A435">
        <v>2019</v>
      </c>
      <c r="B435">
        <v>2428</v>
      </c>
      <c r="C435" t="s">
        <v>107</v>
      </c>
      <c r="D435" t="str" cm="1">
        <f t="array" ref="D435">_xlfn.XLOOKUP(1,
    ('team lookup'!$C$3:$C$97 = B435) * ('team lookup'!$A$3:$A$97 &lt;= A435) * (IF('team lookup'!$B$3:$B$97 = "", 9999, 'team lookup'!$B$3:$B$97) &gt;= A435),
    'team lookup'!$E$3:$E$97,
    "Other"
)</f>
        <v>Other</v>
      </c>
      <c r="E435">
        <f t="shared" si="12"/>
        <v>0</v>
      </c>
      <c r="F435">
        <f t="shared" si="13"/>
        <v>0</v>
      </c>
    </row>
    <row r="436" spans="1:6" x14ac:dyDescent="0.35">
      <c r="A436">
        <v>2021</v>
      </c>
      <c r="B436">
        <v>2000</v>
      </c>
      <c r="C436" t="s">
        <v>131</v>
      </c>
      <c r="D436" t="str" cm="1">
        <f t="array" ref="D436">_xlfn.XLOOKUP(1,
    ('team lookup'!$C$3:$C$97 = B436) * ('team lookup'!$A$3:$A$97 &lt;= A436) * (IF('team lookup'!$B$3:$B$97 = "", 9999, 'team lookup'!$B$3:$B$97) &gt;= A436),
    'team lookup'!$E$3:$E$97,
    "Other"
)</f>
        <v>Other</v>
      </c>
      <c r="E436">
        <f t="shared" si="12"/>
        <v>0</v>
      </c>
      <c r="F436">
        <f t="shared" si="13"/>
        <v>0</v>
      </c>
    </row>
    <row r="437" spans="1:6" x14ac:dyDescent="0.35">
      <c r="A437">
        <v>2021</v>
      </c>
      <c r="B437">
        <v>333</v>
      </c>
      <c r="C437" t="s">
        <v>79</v>
      </c>
      <c r="D437" t="str" cm="1">
        <f t="array" ref="D437">_xlfn.XLOOKUP(1,
    ('team lookup'!$C$3:$C$97 = B437) * ('team lookup'!$A$3:$A$97 &lt;= A437) * (IF('team lookup'!$B$3:$B$97 = "", 9999, 'team lookup'!$B$3:$B$97) &gt;= A437),
    'team lookup'!$E$3:$E$97,
    "Other"
)</f>
        <v>SEC</v>
      </c>
      <c r="E437">
        <f t="shared" si="12"/>
        <v>1</v>
      </c>
      <c r="F437">
        <f t="shared" si="13"/>
        <v>1</v>
      </c>
    </row>
    <row r="438" spans="1:6" x14ac:dyDescent="0.35">
      <c r="A438">
        <v>2021</v>
      </c>
      <c r="B438">
        <v>2026</v>
      </c>
      <c r="C438" t="s">
        <v>135</v>
      </c>
      <c r="D438" t="str" cm="1">
        <f t="array" ref="D438">_xlfn.XLOOKUP(1,
    ('team lookup'!$C$3:$C$97 = B438) * ('team lookup'!$A$3:$A$97 &lt;= A438) * (IF('team lookup'!$B$3:$B$97 = "", 9999, 'team lookup'!$B$3:$B$97) &gt;= A438),
    'team lookup'!$E$3:$E$97,
    "Other"
)</f>
        <v>Other</v>
      </c>
      <c r="E438">
        <f t="shared" si="12"/>
        <v>0</v>
      </c>
      <c r="F438">
        <f t="shared" si="13"/>
        <v>0</v>
      </c>
    </row>
    <row r="439" spans="1:6" x14ac:dyDescent="0.35">
      <c r="A439">
        <v>2021</v>
      </c>
      <c r="B439">
        <v>8</v>
      </c>
      <c r="C439" t="s">
        <v>5</v>
      </c>
      <c r="D439" t="str" cm="1">
        <f t="array" ref="D439">_xlfn.XLOOKUP(1,
    ('team lookup'!$C$3:$C$97 = B439) * ('team lookup'!$A$3:$A$97 &lt;= A439) * (IF('team lookup'!$B$3:$B$97 = "", 9999, 'team lookup'!$B$3:$B$97) &gt;= A439),
    'team lookup'!$E$3:$E$97,
    "Other"
)</f>
        <v>SEC</v>
      </c>
      <c r="E439">
        <f t="shared" si="12"/>
        <v>1</v>
      </c>
      <c r="F439">
        <f t="shared" si="13"/>
        <v>1</v>
      </c>
    </row>
    <row r="440" spans="1:6" x14ac:dyDescent="0.35">
      <c r="A440">
        <v>2021</v>
      </c>
      <c r="B440">
        <v>239</v>
      </c>
      <c r="C440" t="s">
        <v>7</v>
      </c>
      <c r="D440" t="str" cm="1">
        <f t="array" ref="D440">_xlfn.XLOOKUP(1,
    ('team lookup'!$C$3:$C$97 = B440) * ('team lookup'!$A$3:$A$97 &lt;= A440) * (IF('team lookup'!$B$3:$B$97 = "", 9999, 'team lookup'!$B$3:$B$97) &gt;= A440),
    'team lookup'!$E$3:$E$97,
    "Other"
)</f>
        <v>Big12</v>
      </c>
      <c r="E440">
        <f t="shared" si="12"/>
        <v>1</v>
      </c>
      <c r="F440">
        <f t="shared" si="13"/>
        <v>1</v>
      </c>
    </row>
    <row r="441" spans="1:6" x14ac:dyDescent="0.35">
      <c r="A441">
        <v>2021</v>
      </c>
      <c r="B441">
        <v>252</v>
      </c>
      <c r="C441" t="s">
        <v>11</v>
      </c>
      <c r="D441" t="str" cm="1">
        <f t="array" ref="D441">_xlfn.XLOOKUP(1,
    ('team lookup'!$C$3:$C$97 = B441) * ('team lookup'!$A$3:$A$97 &lt;= A441) * (IF('team lookup'!$B$3:$B$97 = "", 9999, 'team lookup'!$B$3:$B$97) &gt;= A441),
    'team lookup'!$E$3:$E$97,
    "Other"
)</f>
        <v>Other</v>
      </c>
      <c r="E441">
        <f t="shared" si="12"/>
        <v>0</v>
      </c>
      <c r="F441">
        <f t="shared" si="13"/>
        <v>0</v>
      </c>
    </row>
    <row r="442" spans="1:6" x14ac:dyDescent="0.35">
      <c r="A442">
        <v>2021</v>
      </c>
      <c r="B442">
        <v>228</v>
      </c>
      <c r="C442" t="s">
        <v>12</v>
      </c>
      <c r="D442" t="str" cm="1">
        <f t="array" ref="D442">_xlfn.XLOOKUP(1,
    ('team lookup'!$C$3:$C$97 = B442) * ('team lookup'!$A$3:$A$97 &lt;= A442) * (IF('team lookup'!$B$3:$B$97 = "", 9999, 'team lookup'!$B$3:$B$97) &gt;= A442),
    'team lookup'!$E$3:$E$97,
    "Other"
)</f>
        <v>ACC</v>
      </c>
      <c r="E442">
        <f t="shared" si="12"/>
        <v>1</v>
      </c>
      <c r="F442">
        <f t="shared" si="13"/>
        <v>1</v>
      </c>
    </row>
    <row r="443" spans="1:6" x14ac:dyDescent="0.35">
      <c r="A443">
        <v>2021</v>
      </c>
      <c r="B443">
        <v>325</v>
      </c>
      <c r="C443" t="s">
        <v>44</v>
      </c>
      <c r="D443" t="str" cm="1">
        <f t="array" ref="D443">_xlfn.XLOOKUP(1,
    ('team lookup'!$C$3:$C$97 = B443) * ('team lookup'!$A$3:$A$97 &lt;= A443) * (IF('team lookup'!$B$3:$B$97 = "", 9999, 'team lookup'!$B$3:$B$97) &gt;= A443),
    'team lookup'!$E$3:$E$97,
    "Other"
)</f>
        <v>Other</v>
      </c>
      <c r="E443">
        <f t="shared" si="12"/>
        <v>0</v>
      </c>
      <c r="F443">
        <f t="shared" si="13"/>
        <v>0</v>
      </c>
    </row>
    <row r="444" spans="1:6" x14ac:dyDescent="0.35">
      <c r="A444">
        <v>2021</v>
      </c>
      <c r="B444">
        <v>2142</v>
      </c>
      <c r="C444" t="s">
        <v>133</v>
      </c>
      <c r="D444" t="str" cm="1">
        <f t="array" ref="D444">_xlfn.XLOOKUP(1,
    ('team lookup'!$C$3:$C$97 = B444) * ('team lookup'!$A$3:$A$97 &lt;= A444) * (IF('team lookup'!$B$3:$B$97 = "", 9999, 'team lookup'!$B$3:$B$97) &gt;= A444),
    'team lookup'!$E$3:$E$97,
    "Other"
)</f>
        <v>Other</v>
      </c>
      <c r="E444">
        <f t="shared" si="12"/>
        <v>0</v>
      </c>
      <c r="F444">
        <f t="shared" si="13"/>
        <v>0</v>
      </c>
    </row>
    <row r="445" spans="1:6" x14ac:dyDescent="0.35">
      <c r="A445">
        <v>2021</v>
      </c>
      <c r="B445">
        <v>38</v>
      </c>
      <c r="C445" t="s">
        <v>80</v>
      </c>
      <c r="D445" t="str" cm="1">
        <f t="array" ref="D445">_xlfn.XLOOKUP(1,
    ('team lookup'!$C$3:$C$97 = B445) * ('team lookup'!$A$3:$A$97 &lt;= A445) * (IF('team lookup'!$B$3:$B$97 = "", 9999, 'team lookup'!$B$3:$B$97) &gt;= A445),
    'team lookup'!$E$3:$E$97,
    "Other"
)</f>
        <v>Other</v>
      </c>
      <c r="E445">
        <f t="shared" si="12"/>
        <v>0</v>
      </c>
      <c r="F445">
        <f t="shared" si="13"/>
        <v>0</v>
      </c>
    </row>
    <row r="446" spans="1:6" x14ac:dyDescent="0.35">
      <c r="A446">
        <v>2021</v>
      </c>
      <c r="B446">
        <v>156</v>
      </c>
      <c r="C446" t="s">
        <v>82</v>
      </c>
      <c r="D446" t="str" cm="1">
        <f t="array" ref="D446">_xlfn.XLOOKUP(1,
    ('team lookup'!$C$3:$C$97 = B446) * ('team lookup'!$A$3:$A$97 &lt;= A446) * (IF('team lookup'!$B$3:$B$97 = "", 9999, 'team lookup'!$B$3:$B$97) &gt;= A446),
    'team lookup'!$E$3:$E$97,
    "Other"
)</f>
        <v>Big East</v>
      </c>
      <c r="E446">
        <f t="shared" si="12"/>
        <v>0</v>
      </c>
      <c r="F446">
        <f t="shared" si="13"/>
        <v>1</v>
      </c>
    </row>
    <row r="447" spans="1:6" x14ac:dyDescent="0.35">
      <c r="A447">
        <v>2021</v>
      </c>
      <c r="B447">
        <v>2181</v>
      </c>
      <c r="C447" t="s">
        <v>15</v>
      </c>
      <c r="D447" t="str" cm="1">
        <f t="array" ref="D447">_xlfn.XLOOKUP(1,
    ('team lookup'!$C$3:$C$97 = B447) * ('team lookup'!$A$3:$A$97 &lt;= A447) * (IF('team lookup'!$B$3:$B$97 = "", 9999, 'team lookup'!$B$3:$B$97) &gt;= A447),
    'team lookup'!$E$3:$E$97,
    "Other"
)</f>
        <v>Other</v>
      </c>
      <c r="E447">
        <f t="shared" si="12"/>
        <v>0</v>
      </c>
      <c r="F447">
        <f t="shared" si="13"/>
        <v>0</v>
      </c>
    </row>
    <row r="448" spans="1:6" x14ac:dyDescent="0.35">
      <c r="A448">
        <v>2021</v>
      </c>
      <c r="B448">
        <v>2182</v>
      </c>
      <c r="C448" t="s">
        <v>136</v>
      </c>
      <c r="D448" t="str" cm="1">
        <f t="array" ref="D448">_xlfn.XLOOKUP(1,
    ('team lookup'!$C$3:$C$97 = B448) * ('team lookup'!$A$3:$A$97 &lt;= A448) * (IF('team lookup'!$B$3:$B$97 = "", 9999, 'team lookup'!$B$3:$B$97) &gt;= A448),
    'team lookup'!$E$3:$E$97,
    "Other"
)</f>
        <v>Other</v>
      </c>
      <c r="E448">
        <f t="shared" si="12"/>
        <v>0</v>
      </c>
      <c r="F448">
        <f t="shared" si="13"/>
        <v>0</v>
      </c>
    </row>
    <row r="449" spans="1:6" x14ac:dyDescent="0.35">
      <c r="A449">
        <v>2021</v>
      </c>
      <c r="B449">
        <v>331</v>
      </c>
      <c r="C449" t="s">
        <v>110</v>
      </c>
      <c r="D449" t="str" cm="1">
        <f t="array" ref="D449">_xlfn.XLOOKUP(1,
    ('team lookup'!$C$3:$C$97 = B449) * ('team lookup'!$A$3:$A$97 &lt;= A449) * (IF('team lookup'!$B$3:$B$97 = "", 9999, 'team lookup'!$B$3:$B$97) &gt;= A449),
    'team lookup'!$E$3:$E$97,
    "Other"
)</f>
        <v>Other</v>
      </c>
      <c r="E449">
        <f t="shared" si="12"/>
        <v>0</v>
      </c>
      <c r="F449">
        <f t="shared" si="13"/>
        <v>0</v>
      </c>
    </row>
    <row r="450" spans="1:6" x14ac:dyDescent="0.35">
      <c r="A450">
        <v>2021</v>
      </c>
      <c r="B450">
        <v>57</v>
      </c>
      <c r="C450" t="s">
        <v>58</v>
      </c>
      <c r="D450" t="str" cm="1">
        <f t="array" ref="D450">_xlfn.XLOOKUP(1,
    ('team lookup'!$C$3:$C$97 = B450) * ('team lookup'!$A$3:$A$97 &lt;= A450) * (IF('team lookup'!$B$3:$B$97 = "", 9999, 'team lookup'!$B$3:$B$97) &gt;= A450),
    'team lookup'!$E$3:$E$97,
    "Other"
)</f>
        <v>SEC</v>
      </c>
      <c r="E450">
        <f t="shared" si="12"/>
        <v>1</v>
      </c>
      <c r="F450">
        <f t="shared" si="13"/>
        <v>1</v>
      </c>
    </row>
    <row r="451" spans="1:6" x14ac:dyDescent="0.35">
      <c r="A451">
        <v>2021</v>
      </c>
      <c r="B451">
        <v>52</v>
      </c>
      <c r="C451" t="s">
        <v>48</v>
      </c>
      <c r="D451" t="str" cm="1">
        <f t="array" ref="D451">_xlfn.XLOOKUP(1,
    ('team lookup'!$C$3:$C$97 = B451) * ('team lookup'!$A$3:$A$97 &lt;= A451) * (IF('team lookup'!$B$3:$B$97 = "", 9999, 'team lookup'!$B$3:$B$97) &gt;= A451),
    'team lookup'!$E$3:$E$97,
    "Other"
)</f>
        <v>ACC</v>
      </c>
      <c r="E451">
        <f t="shared" ref="E451:E514" si="14">IF(OR(D451="ACC", D451="SEC", D451="Big12"), 1,0)</f>
        <v>1</v>
      </c>
      <c r="F451">
        <f t="shared" ref="F451:F514" si="15">IF(D451&lt;&gt;"Other", 1,0)</f>
        <v>1</v>
      </c>
    </row>
    <row r="452" spans="1:6" x14ac:dyDescent="0.35">
      <c r="A452">
        <v>2021</v>
      </c>
      <c r="B452">
        <v>46</v>
      </c>
      <c r="C452" t="s">
        <v>19</v>
      </c>
      <c r="D452" t="str" cm="1">
        <f t="array" ref="D452">_xlfn.XLOOKUP(1,
    ('team lookup'!$C$3:$C$97 = B452) * ('team lookup'!$A$3:$A$97 &lt;= A452) * (IF('team lookup'!$B$3:$B$97 = "", 9999, 'team lookup'!$B$3:$B$97) &gt;= A452),
    'team lookup'!$E$3:$E$97,
    "Other"
)</f>
        <v>Big East</v>
      </c>
      <c r="E452">
        <f t="shared" si="14"/>
        <v>0</v>
      </c>
      <c r="F452">
        <f t="shared" si="15"/>
        <v>1</v>
      </c>
    </row>
    <row r="453" spans="1:6" x14ac:dyDescent="0.35">
      <c r="A453">
        <v>2021</v>
      </c>
      <c r="B453">
        <v>59</v>
      </c>
      <c r="C453" t="s">
        <v>59</v>
      </c>
      <c r="D453" t="str" cm="1">
        <f t="array" ref="D453">_xlfn.XLOOKUP(1,
    ('team lookup'!$C$3:$C$97 = B453) * ('team lookup'!$A$3:$A$97 &lt;= A453) * (IF('team lookup'!$B$3:$B$97 = "", 9999, 'team lookup'!$B$3:$B$97) &gt;= A453),
    'team lookup'!$E$3:$E$97,
    "Other"
)</f>
        <v>ACC</v>
      </c>
      <c r="E453">
        <f t="shared" si="14"/>
        <v>1</v>
      </c>
      <c r="F453">
        <f t="shared" si="15"/>
        <v>1</v>
      </c>
    </row>
    <row r="454" spans="1:6" x14ac:dyDescent="0.35">
      <c r="A454">
        <v>2021</v>
      </c>
      <c r="B454">
        <v>2250</v>
      </c>
      <c r="C454" t="s">
        <v>21</v>
      </c>
      <c r="D454" t="str" cm="1">
        <f t="array" ref="D454">_xlfn.XLOOKUP(1,
    ('team lookup'!$C$3:$C$97 = B454) * ('team lookup'!$A$3:$A$97 &lt;= A454) * (IF('team lookup'!$B$3:$B$97 = "", 9999, 'team lookup'!$B$3:$B$97) &gt;= A454),
    'team lookup'!$E$3:$E$97,
    "Other"
)</f>
        <v>Other</v>
      </c>
      <c r="E454">
        <f t="shared" si="14"/>
        <v>0</v>
      </c>
      <c r="F454">
        <f t="shared" si="15"/>
        <v>0</v>
      </c>
    </row>
    <row r="455" spans="1:6" x14ac:dyDescent="0.35">
      <c r="A455">
        <v>2021</v>
      </c>
      <c r="B455">
        <v>2253</v>
      </c>
      <c r="C455" t="s">
        <v>137</v>
      </c>
      <c r="D455" t="str" cm="1">
        <f t="array" ref="D455">_xlfn.XLOOKUP(1,
    ('team lookup'!$C$3:$C$97 = B455) * ('team lookup'!$A$3:$A$97 &lt;= A455) * (IF('team lookup'!$B$3:$B$97 = "", 9999, 'team lookup'!$B$3:$B$97) &gt;= A455),
    'team lookup'!$E$3:$E$97,
    "Other"
)</f>
        <v>Other</v>
      </c>
      <c r="E455">
        <f t="shared" si="14"/>
        <v>0</v>
      </c>
      <c r="F455">
        <f t="shared" si="15"/>
        <v>0</v>
      </c>
    </row>
    <row r="456" spans="1:6" x14ac:dyDescent="0.35">
      <c r="A456">
        <v>2021</v>
      </c>
      <c r="B456">
        <v>42</v>
      </c>
      <c r="C456" t="s">
        <v>138</v>
      </c>
      <c r="D456" t="str" cm="1">
        <f t="array" ref="D456">_xlfn.XLOOKUP(1,
    ('team lookup'!$C$3:$C$97 = B456) * ('team lookup'!$A$3:$A$97 &lt;= A456) * (IF('team lookup'!$B$3:$B$97 = "", 9999, 'team lookup'!$B$3:$B$97) &gt;= A456),
    'team lookup'!$E$3:$E$97,
    "Other"
)</f>
        <v>Other</v>
      </c>
      <c r="E456">
        <f t="shared" si="14"/>
        <v>0</v>
      </c>
      <c r="F456">
        <f t="shared" si="15"/>
        <v>0</v>
      </c>
    </row>
    <row r="457" spans="1:6" x14ac:dyDescent="0.35">
      <c r="A457">
        <v>2021</v>
      </c>
      <c r="B457">
        <v>248</v>
      </c>
      <c r="C457" t="s">
        <v>60</v>
      </c>
      <c r="D457" t="str" cm="1">
        <f t="array" ref="D457">_xlfn.XLOOKUP(1,
    ('team lookup'!$C$3:$C$97 = B457) * ('team lookup'!$A$3:$A$97 &lt;= A457) * (IF('team lookup'!$B$3:$B$97 = "", 9999, 'team lookup'!$B$3:$B$97) &gt;= A457),
    'team lookup'!$E$3:$E$97,
    "Other"
)</f>
        <v>Other</v>
      </c>
      <c r="E457">
        <f t="shared" si="14"/>
        <v>0</v>
      </c>
      <c r="F457">
        <f t="shared" si="15"/>
        <v>0</v>
      </c>
    </row>
    <row r="458" spans="1:6" x14ac:dyDescent="0.35">
      <c r="A458">
        <v>2021</v>
      </c>
      <c r="B458">
        <v>356</v>
      </c>
      <c r="C458" t="s">
        <v>49</v>
      </c>
      <c r="D458" t="str" cm="1">
        <f t="array" ref="D458">_xlfn.XLOOKUP(1,
    ('team lookup'!$C$3:$C$97 = B458) * ('team lookup'!$A$3:$A$97 &lt;= A458) * (IF('team lookup'!$B$3:$B$97 = "", 9999, 'team lookup'!$B$3:$B$97) &gt;= A458),
    'team lookup'!$E$3:$E$97,
    "Other"
)</f>
        <v>Big Ten</v>
      </c>
      <c r="E458">
        <f t="shared" si="14"/>
        <v>0</v>
      </c>
      <c r="F458">
        <f t="shared" si="15"/>
        <v>1</v>
      </c>
    </row>
    <row r="459" spans="1:6" x14ac:dyDescent="0.35">
      <c r="A459">
        <v>2021</v>
      </c>
      <c r="B459">
        <v>314</v>
      </c>
      <c r="C459" t="s">
        <v>85</v>
      </c>
      <c r="D459" t="str" cm="1">
        <f t="array" ref="D459">_xlfn.XLOOKUP(1,
    ('team lookup'!$C$3:$C$97 = B459) * ('team lookup'!$A$3:$A$97 &lt;= A459) * (IF('team lookup'!$B$3:$B$97 = "", 9999, 'team lookup'!$B$3:$B$97) &gt;= A459),
    'team lookup'!$E$3:$E$97,
    "Other"
)</f>
        <v>Other</v>
      </c>
      <c r="E459">
        <f t="shared" si="14"/>
        <v>0</v>
      </c>
      <c r="F459">
        <f t="shared" si="15"/>
        <v>0</v>
      </c>
    </row>
    <row r="460" spans="1:6" x14ac:dyDescent="0.35">
      <c r="A460">
        <v>2021</v>
      </c>
      <c r="B460">
        <v>2294</v>
      </c>
      <c r="C460" t="s">
        <v>101</v>
      </c>
      <c r="D460" t="str" cm="1">
        <f t="array" ref="D460">_xlfn.XLOOKUP(1,
    ('team lookup'!$C$3:$C$97 = B460) * ('team lookup'!$A$3:$A$97 &lt;= A460) * (IF('team lookup'!$B$3:$B$97 = "", 9999, 'team lookup'!$B$3:$B$97) &gt;= A460),
    'team lookup'!$E$3:$E$97,
    "Other"
)</f>
        <v>Big Ten</v>
      </c>
      <c r="E460">
        <f t="shared" si="14"/>
        <v>0</v>
      </c>
      <c r="F460">
        <f t="shared" si="15"/>
        <v>1</v>
      </c>
    </row>
    <row r="461" spans="1:6" x14ac:dyDescent="0.35">
      <c r="A461">
        <v>2021</v>
      </c>
      <c r="B461">
        <v>2305</v>
      </c>
      <c r="C461" t="s">
        <v>23</v>
      </c>
      <c r="D461" t="str" cm="1">
        <f t="array" ref="D461">_xlfn.XLOOKUP(1,
    ('team lookup'!$C$3:$C$97 = B461) * ('team lookup'!$A$3:$A$97 &lt;= A461) * (IF('team lookup'!$B$3:$B$97 = "", 9999, 'team lookup'!$B$3:$B$97) &gt;= A461),
    'team lookup'!$E$3:$E$97,
    "Other"
)</f>
        <v>Big12</v>
      </c>
      <c r="E461">
        <f t="shared" si="14"/>
        <v>1</v>
      </c>
      <c r="F461">
        <f t="shared" si="15"/>
        <v>1</v>
      </c>
    </row>
    <row r="462" spans="1:6" x14ac:dyDescent="0.35">
      <c r="A462">
        <v>2021</v>
      </c>
      <c r="B462">
        <v>2335</v>
      </c>
      <c r="C462" t="s">
        <v>95</v>
      </c>
      <c r="D462" t="str" cm="1">
        <f t="array" ref="D462">_xlfn.XLOOKUP(1,
    ('team lookup'!$C$3:$C$97 = B462) * ('team lookup'!$A$3:$A$97 &lt;= A462) * (IF('team lookup'!$B$3:$B$97 = "", 9999, 'team lookup'!$B$3:$B$97) &gt;= A462),
    'team lookup'!$E$3:$E$97,
    "Other"
)</f>
        <v>Other</v>
      </c>
      <c r="E462">
        <f t="shared" si="14"/>
        <v>0</v>
      </c>
      <c r="F462">
        <f t="shared" si="15"/>
        <v>0</v>
      </c>
    </row>
    <row r="463" spans="1:6" x14ac:dyDescent="0.35">
      <c r="A463">
        <v>2021</v>
      </c>
      <c r="B463">
        <v>2350</v>
      </c>
      <c r="C463" t="s">
        <v>129</v>
      </c>
      <c r="D463" t="str" cm="1">
        <f t="array" ref="D463">_xlfn.XLOOKUP(1,
    ('team lookup'!$C$3:$C$97 = B463) * ('team lookup'!$A$3:$A$97 &lt;= A463) * (IF('team lookup'!$B$3:$B$97 = "", 9999, 'team lookup'!$B$3:$B$97) &gt;= A463),
    'team lookup'!$E$3:$E$97,
    "Other"
)</f>
        <v>Other</v>
      </c>
      <c r="E463">
        <f t="shared" si="14"/>
        <v>0</v>
      </c>
      <c r="F463">
        <f t="shared" si="15"/>
        <v>0</v>
      </c>
    </row>
    <row r="464" spans="1:6" x14ac:dyDescent="0.35">
      <c r="A464">
        <v>2021</v>
      </c>
      <c r="B464">
        <v>99</v>
      </c>
      <c r="C464" t="s">
        <v>50</v>
      </c>
      <c r="D464" t="str" cm="1">
        <f t="array" ref="D464">_xlfn.XLOOKUP(1,
    ('team lookup'!$C$3:$C$97 = B464) * ('team lookup'!$A$3:$A$97 &lt;= A464) * (IF('team lookup'!$B$3:$B$97 = "", 9999, 'team lookup'!$B$3:$B$97) &gt;= A464),
    'team lookup'!$E$3:$E$97,
    "Other"
)</f>
        <v>SEC</v>
      </c>
      <c r="E464">
        <f t="shared" si="14"/>
        <v>1</v>
      </c>
      <c r="F464">
        <f t="shared" si="15"/>
        <v>1</v>
      </c>
    </row>
    <row r="465" spans="1:6" x14ac:dyDescent="0.35">
      <c r="A465">
        <v>2021</v>
      </c>
      <c r="B465">
        <v>120</v>
      </c>
      <c r="C465" t="s">
        <v>51</v>
      </c>
      <c r="D465" t="str" cm="1">
        <f t="array" ref="D465">_xlfn.XLOOKUP(1,
    ('team lookup'!$C$3:$C$97 = B465) * ('team lookup'!$A$3:$A$97 &lt;= A465) * (IF('team lookup'!$B$3:$B$97 = "", 9999, 'team lookup'!$B$3:$B$97) &gt;= A465),
    'team lookup'!$E$3:$E$97,
    "Other"
)</f>
        <v>Big Ten</v>
      </c>
      <c r="E465">
        <f t="shared" si="14"/>
        <v>0</v>
      </c>
      <c r="F465">
        <f t="shared" si="15"/>
        <v>1</v>
      </c>
    </row>
    <row r="466" spans="1:6" x14ac:dyDescent="0.35">
      <c r="A466">
        <v>2021</v>
      </c>
      <c r="B466">
        <v>130</v>
      </c>
      <c r="C466" t="s">
        <v>52</v>
      </c>
      <c r="D466" t="str" cm="1">
        <f t="array" ref="D466">_xlfn.XLOOKUP(1,
    ('team lookup'!$C$3:$C$97 = B466) * ('team lookup'!$A$3:$A$97 &lt;= A466) * (IF('team lookup'!$B$3:$B$97 = "", 9999, 'team lookup'!$B$3:$B$97) &gt;= A466),
    'team lookup'!$E$3:$E$97,
    "Other"
)</f>
        <v>Big Ten</v>
      </c>
      <c r="E466">
        <f t="shared" si="14"/>
        <v>0</v>
      </c>
      <c r="F466">
        <f t="shared" si="15"/>
        <v>1</v>
      </c>
    </row>
    <row r="467" spans="1:6" x14ac:dyDescent="0.35">
      <c r="A467">
        <v>2021</v>
      </c>
      <c r="B467">
        <v>127</v>
      </c>
      <c r="C467" t="s">
        <v>31</v>
      </c>
      <c r="D467" t="str" cm="1">
        <f t="array" ref="D467">_xlfn.XLOOKUP(1,
    ('team lookup'!$C$3:$C$97 = B467) * ('team lookup'!$A$3:$A$97 &lt;= A467) * (IF('team lookup'!$B$3:$B$97 = "", 9999, 'team lookup'!$B$3:$B$97) &gt;= A467),
    'team lookup'!$E$3:$E$97,
    "Other"
)</f>
        <v>Big Ten</v>
      </c>
      <c r="E467">
        <f t="shared" si="14"/>
        <v>0</v>
      </c>
      <c r="F467">
        <f t="shared" si="15"/>
        <v>1</v>
      </c>
    </row>
    <row r="468" spans="1:6" x14ac:dyDescent="0.35">
      <c r="A468">
        <v>2021</v>
      </c>
      <c r="B468">
        <v>142</v>
      </c>
      <c r="C468" t="s">
        <v>54</v>
      </c>
      <c r="D468" t="str" cm="1">
        <f t="array" ref="D468">_xlfn.XLOOKUP(1,
    ('team lookup'!$C$3:$C$97 = B468) * ('team lookup'!$A$3:$A$97 &lt;= A468) * (IF('team lookup'!$B$3:$B$97 = "", 9999, 'team lookup'!$B$3:$B$97) &gt;= A468),
    'team lookup'!$E$3:$E$97,
    "Other"
)</f>
        <v>SEC</v>
      </c>
      <c r="E468">
        <f t="shared" si="14"/>
        <v>1</v>
      </c>
      <c r="F468">
        <f t="shared" si="15"/>
        <v>1</v>
      </c>
    </row>
    <row r="469" spans="1:6" x14ac:dyDescent="0.35">
      <c r="A469">
        <v>2021</v>
      </c>
      <c r="B469">
        <v>2413</v>
      </c>
      <c r="C469" t="s">
        <v>55</v>
      </c>
      <c r="D469" t="str" cm="1">
        <f t="array" ref="D469">_xlfn.XLOOKUP(1,
    ('team lookup'!$C$3:$C$97 = B469) * ('team lookup'!$A$3:$A$97 &lt;= A469) * (IF('team lookup'!$B$3:$B$97 = "", 9999, 'team lookup'!$B$3:$B$97) &gt;= A469),
    'team lookup'!$E$3:$E$97,
    "Other"
)</f>
        <v>Other</v>
      </c>
      <c r="E469">
        <f t="shared" si="14"/>
        <v>0</v>
      </c>
      <c r="F469">
        <f t="shared" si="15"/>
        <v>0</v>
      </c>
    </row>
    <row r="470" spans="1:6" x14ac:dyDescent="0.35">
      <c r="A470">
        <v>2021</v>
      </c>
      <c r="B470">
        <v>116</v>
      </c>
      <c r="C470" t="s">
        <v>34</v>
      </c>
      <c r="D470" t="str" cm="1">
        <f t="array" ref="D470">_xlfn.XLOOKUP(1,
    ('team lookup'!$C$3:$C$97 = B470) * ('team lookup'!$A$3:$A$97 &lt;= A470) * (IF('team lookup'!$B$3:$B$97 = "", 9999, 'team lookup'!$B$3:$B$97) &gt;= A470),
    'team lookup'!$E$3:$E$97,
    "Other"
)</f>
        <v>Other</v>
      </c>
      <c r="E470">
        <f t="shared" si="14"/>
        <v>0</v>
      </c>
      <c r="F470">
        <f t="shared" si="15"/>
        <v>0</v>
      </c>
    </row>
    <row r="471" spans="1:6" x14ac:dyDescent="0.35">
      <c r="A471">
        <v>2021</v>
      </c>
      <c r="B471">
        <v>2450</v>
      </c>
      <c r="C471" t="s">
        <v>139</v>
      </c>
      <c r="D471" t="str" cm="1">
        <f t="array" ref="D471">_xlfn.XLOOKUP(1,
    ('team lookup'!$C$3:$C$97 = B471) * ('team lookup'!$A$3:$A$97 &lt;= A471) * (IF('team lookup'!$B$3:$B$97 = "", 9999, 'team lookup'!$B$3:$B$97) &gt;= A471),
    'team lookup'!$E$3:$E$97,
    "Other"
)</f>
        <v>Other</v>
      </c>
      <c r="E471">
        <f t="shared" si="14"/>
        <v>0</v>
      </c>
      <c r="F471">
        <f t="shared" si="15"/>
        <v>0</v>
      </c>
    </row>
    <row r="472" spans="1:6" x14ac:dyDescent="0.35">
      <c r="A472">
        <v>2022</v>
      </c>
      <c r="B472">
        <v>2006</v>
      </c>
      <c r="C472" t="s">
        <v>37</v>
      </c>
      <c r="D472" t="str" cm="1">
        <f t="array" ref="D472">_xlfn.XLOOKUP(1,
    ('team lookup'!$C$3:$C$97 = B472) * ('team lookup'!$A$3:$A$97 &lt;= A472) * (IF('team lookup'!$B$3:$B$97 = "", 9999, 'team lookup'!$B$3:$B$97) &gt;= A472),
    'team lookup'!$E$3:$E$97,
    "Other"
)</f>
        <v>Other</v>
      </c>
      <c r="E472">
        <f t="shared" si="14"/>
        <v>0</v>
      </c>
      <c r="F472">
        <f t="shared" si="15"/>
        <v>0</v>
      </c>
    </row>
    <row r="473" spans="1:6" x14ac:dyDescent="0.35">
      <c r="A473">
        <v>2022</v>
      </c>
      <c r="B473">
        <v>333</v>
      </c>
      <c r="C473" t="s">
        <v>79</v>
      </c>
      <c r="D473" t="str" cm="1">
        <f t="array" ref="D473">_xlfn.XLOOKUP(1,
    ('team lookup'!$C$3:$C$97 = B473) * ('team lookup'!$A$3:$A$97 &lt;= A473) * (IF('team lookup'!$B$3:$B$97 = "", 9999, 'team lookup'!$B$3:$B$97) &gt;= A473),
    'team lookup'!$E$3:$E$97,
    "Other"
)</f>
        <v>SEC</v>
      </c>
      <c r="E473">
        <f t="shared" si="14"/>
        <v>1</v>
      </c>
      <c r="F473">
        <f t="shared" si="15"/>
        <v>1</v>
      </c>
    </row>
    <row r="474" spans="1:6" x14ac:dyDescent="0.35">
      <c r="A474">
        <v>2022</v>
      </c>
      <c r="B474">
        <v>12</v>
      </c>
      <c r="C474" t="s">
        <v>4</v>
      </c>
      <c r="D474" t="str" cm="1">
        <f t="array" ref="D474">_xlfn.XLOOKUP(1,
    ('team lookup'!$C$3:$C$97 = B474) * ('team lookup'!$A$3:$A$97 &lt;= A474) * (IF('team lookup'!$B$3:$B$97 = "", 9999, 'team lookup'!$B$3:$B$97) &gt;= A474),
    'team lookup'!$E$3:$E$97,
    "Other"
)</f>
        <v>Other</v>
      </c>
      <c r="E474">
        <f t="shared" si="14"/>
        <v>0</v>
      </c>
      <c r="F474">
        <f t="shared" si="15"/>
        <v>0</v>
      </c>
    </row>
    <row r="475" spans="1:6" x14ac:dyDescent="0.35">
      <c r="A475">
        <v>2022</v>
      </c>
      <c r="B475">
        <v>8</v>
      </c>
      <c r="C475" t="s">
        <v>5</v>
      </c>
      <c r="D475" t="str" cm="1">
        <f t="array" ref="D475">_xlfn.XLOOKUP(1,
    ('team lookup'!$C$3:$C$97 = B475) * ('team lookup'!$A$3:$A$97 &lt;= A475) * (IF('team lookup'!$B$3:$B$97 = "", 9999, 'team lookup'!$B$3:$B$97) &gt;= A475),
    'team lookup'!$E$3:$E$97,
    "Other"
)</f>
        <v>SEC</v>
      </c>
      <c r="E475">
        <f t="shared" si="14"/>
        <v>1</v>
      </c>
      <c r="F475">
        <f t="shared" si="15"/>
        <v>1</v>
      </c>
    </row>
    <row r="476" spans="1:6" x14ac:dyDescent="0.35">
      <c r="A476">
        <v>2022</v>
      </c>
      <c r="B476">
        <v>2</v>
      </c>
      <c r="C476" t="s">
        <v>126</v>
      </c>
      <c r="D476" t="str" cm="1">
        <f t="array" ref="D476">_xlfn.XLOOKUP(1,
    ('team lookup'!$C$3:$C$97 = B476) * ('team lookup'!$A$3:$A$97 &lt;= A476) * (IF('team lookup'!$B$3:$B$97 = "", 9999, 'team lookup'!$B$3:$B$97) &gt;= A476),
    'team lookup'!$E$3:$E$97,
    "Other"
)</f>
        <v>SEC</v>
      </c>
      <c r="E476">
        <f t="shared" si="14"/>
        <v>1</v>
      </c>
      <c r="F476">
        <f t="shared" si="15"/>
        <v>1</v>
      </c>
    </row>
    <row r="477" spans="1:6" x14ac:dyDescent="0.35">
      <c r="A477">
        <v>2022</v>
      </c>
      <c r="B477">
        <v>239</v>
      </c>
      <c r="C477" t="s">
        <v>7</v>
      </c>
      <c r="D477" t="str" cm="1">
        <f t="array" ref="D477">_xlfn.XLOOKUP(1,
    ('team lookup'!$C$3:$C$97 = B477) * ('team lookup'!$A$3:$A$97 &lt;= A477) * (IF('team lookup'!$B$3:$B$97 = "", 9999, 'team lookup'!$B$3:$B$97) &gt;= A477),
    'team lookup'!$E$3:$E$97,
    "Other"
)</f>
        <v>Big12</v>
      </c>
      <c r="E477">
        <f t="shared" si="14"/>
        <v>1</v>
      </c>
      <c r="F477">
        <f t="shared" si="15"/>
        <v>1</v>
      </c>
    </row>
    <row r="478" spans="1:6" x14ac:dyDescent="0.35">
      <c r="A478">
        <v>2022</v>
      </c>
      <c r="B478">
        <v>68</v>
      </c>
      <c r="C478" t="s">
        <v>9</v>
      </c>
      <c r="D478" t="str" cm="1">
        <f t="array" ref="D478">_xlfn.XLOOKUP(1,
    ('team lookup'!$C$3:$C$97 = B478) * ('team lookup'!$A$3:$A$97 &lt;= A478) * (IF('team lookup'!$B$3:$B$97 = "", 9999, 'team lookup'!$B$3:$B$97) &gt;= A478),
    'team lookup'!$E$3:$E$97,
    "Other"
)</f>
        <v>Other</v>
      </c>
      <c r="E478">
        <f t="shared" si="14"/>
        <v>0</v>
      </c>
      <c r="F478">
        <f t="shared" si="15"/>
        <v>0</v>
      </c>
    </row>
    <row r="479" spans="1:6" x14ac:dyDescent="0.35">
      <c r="A479">
        <v>2022</v>
      </c>
      <c r="B479">
        <v>2803</v>
      </c>
      <c r="C479" t="s">
        <v>140</v>
      </c>
      <c r="D479" t="str" cm="1">
        <f t="array" ref="D479">_xlfn.XLOOKUP(1,
    ('team lookup'!$C$3:$C$97 = B479) * ('team lookup'!$A$3:$A$97 &lt;= A479) * (IF('team lookup'!$B$3:$B$97 = "", 9999, 'team lookup'!$B$3:$B$97) &gt;= A479),
    'team lookup'!$E$3:$E$97,
    "Other"
)</f>
        <v>Other</v>
      </c>
      <c r="E479">
        <f t="shared" si="14"/>
        <v>0</v>
      </c>
      <c r="F479">
        <f t="shared" si="15"/>
        <v>0</v>
      </c>
    </row>
    <row r="480" spans="1:6" x14ac:dyDescent="0.35">
      <c r="A480">
        <v>2022</v>
      </c>
      <c r="B480">
        <v>236</v>
      </c>
      <c r="C480" t="s">
        <v>43</v>
      </c>
      <c r="D480" t="str" cm="1">
        <f t="array" ref="D480">_xlfn.XLOOKUP(1,
    ('team lookup'!$C$3:$C$97 = B480) * ('team lookup'!$A$3:$A$97 &lt;= A480) * (IF('team lookup'!$B$3:$B$97 = "", 9999, 'team lookup'!$B$3:$B$97) &gt;= A480),
    'team lookup'!$E$3:$E$97,
    "Other"
)</f>
        <v>Other</v>
      </c>
      <c r="E480">
        <f t="shared" si="14"/>
        <v>0</v>
      </c>
      <c r="F480">
        <f t="shared" si="15"/>
        <v>0</v>
      </c>
    </row>
    <row r="481" spans="1:6" x14ac:dyDescent="0.35">
      <c r="A481">
        <v>2022</v>
      </c>
      <c r="B481">
        <v>2142</v>
      </c>
      <c r="C481" t="s">
        <v>133</v>
      </c>
      <c r="D481" t="str" cm="1">
        <f t="array" ref="D481">_xlfn.XLOOKUP(1,
    ('team lookup'!$C$3:$C$97 = B481) * ('team lookup'!$A$3:$A$97 &lt;= A481) * (IF('team lookup'!$B$3:$B$97 = "", 9999, 'team lookup'!$B$3:$B$97) &gt;= A481),
    'team lookup'!$E$3:$E$97,
    "Other"
)</f>
        <v>Other</v>
      </c>
      <c r="E481">
        <f t="shared" si="14"/>
        <v>0</v>
      </c>
      <c r="F481">
        <f t="shared" si="15"/>
        <v>0</v>
      </c>
    </row>
    <row r="482" spans="1:6" x14ac:dyDescent="0.35">
      <c r="A482">
        <v>2022</v>
      </c>
      <c r="B482">
        <v>36</v>
      </c>
      <c r="C482" t="s">
        <v>81</v>
      </c>
      <c r="D482" t="str" cm="1">
        <f t="array" ref="D482">_xlfn.XLOOKUP(1,
    ('team lookup'!$C$3:$C$97 = B482) * ('team lookup'!$A$3:$A$97 &lt;= A482) * (IF('team lookup'!$B$3:$B$97 = "", 9999, 'team lookup'!$B$3:$B$97) &gt;= A482),
    'team lookup'!$E$3:$E$97,
    "Other"
)</f>
        <v>Other</v>
      </c>
      <c r="E482">
        <f t="shared" si="14"/>
        <v>0</v>
      </c>
      <c r="F482">
        <f t="shared" si="15"/>
        <v>0</v>
      </c>
    </row>
    <row r="483" spans="1:6" x14ac:dyDescent="0.35">
      <c r="A483">
        <v>2022</v>
      </c>
      <c r="B483">
        <v>156</v>
      </c>
      <c r="C483" t="s">
        <v>82</v>
      </c>
      <c r="D483" t="str" cm="1">
        <f t="array" ref="D483">_xlfn.XLOOKUP(1,
    ('team lookup'!$C$3:$C$97 = B483) * ('team lookup'!$A$3:$A$97 &lt;= A483) * (IF('team lookup'!$B$3:$B$97 = "", 9999, 'team lookup'!$B$3:$B$97) &gt;= A483),
    'team lookup'!$E$3:$E$97,
    "Other"
)</f>
        <v>Big East</v>
      </c>
      <c r="E483">
        <f t="shared" si="14"/>
        <v>0</v>
      </c>
      <c r="F483">
        <f t="shared" si="15"/>
        <v>1</v>
      </c>
    </row>
    <row r="484" spans="1:6" x14ac:dyDescent="0.35">
      <c r="A484">
        <v>2022</v>
      </c>
      <c r="B484">
        <v>2166</v>
      </c>
      <c r="C484" t="s">
        <v>14</v>
      </c>
      <c r="D484" t="str" cm="1">
        <f t="array" ref="D484">_xlfn.XLOOKUP(1,
    ('team lookup'!$C$3:$C$97 = B484) * ('team lookup'!$A$3:$A$97 &lt;= A484) * (IF('team lookup'!$B$3:$B$97 = "", 9999, 'team lookup'!$B$3:$B$97) &gt;= A484),
    'team lookup'!$E$3:$E$97,
    "Other"
)</f>
        <v>Other</v>
      </c>
      <c r="E484">
        <f t="shared" si="14"/>
        <v>0</v>
      </c>
      <c r="F484">
        <f t="shared" si="15"/>
        <v>0</v>
      </c>
    </row>
    <row r="485" spans="1:6" x14ac:dyDescent="0.35">
      <c r="A485">
        <v>2022</v>
      </c>
      <c r="B485">
        <v>48</v>
      </c>
      <c r="C485" t="s">
        <v>98</v>
      </c>
      <c r="D485" t="str" cm="1">
        <f t="array" ref="D485">_xlfn.XLOOKUP(1,
    ('team lookup'!$C$3:$C$97 = B485) * ('team lookup'!$A$3:$A$97 &lt;= A485) * (IF('team lookup'!$B$3:$B$97 = "", 9999, 'team lookup'!$B$3:$B$97) &gt;= A485),
    'team lookup'!$E$3:$E$97,
    "Other"
)</f>
        <v>Other</v>
      </c>
      <c r="E485">
        <f t="shared" si="14"/>
        <v>0</v>
      </c>
      <c r="F485">
        <f t="shared" si="15"/>
        <v>0</v>
      </c>
    </row>
    <row r="486" spans="1:6" x14ac:dyDescent="0.35">
      <c r="A486">
        <v>2022</v>
      </c>
      <c r="B486">
        <v>150</v>
      </c>
      <c r="C486" t="s">
        <v>16</v>
      </c>
      <c r="D486" t="str" cm="1">
        <f t="array" ref="D486">_xlfn.XLOOKUP(1,
    ('team lookup'!$C$3:$C$97 = B486) * ('team lookup'!$A$3:$A$97 &lt;= A486) * (IF('team lookup'!$B$3:$B$97 = "", 9999, 'team lookup'!$B$3:$B$97) &gt;= A486),
    'team lookup'!$E$3:$E$97,
    "Other"
)</f>
        <v>ACC</v>
      </c>
      <c r="E486">
        <f t="shared" si="14"/>
        <v>1</v>
      </c>
      <c r="F486">
        <f t="shared" si="15"/>
        <v>1</v>
      </c>
    </row>
    <row r="487" spans="1:6" x14ac:dyDescent="0.35">
      <c r="A487">
        <v>2022</v>
      </c>
      <c r="B487">
        <v>2239</v>
      </c>
      <c r="C487" t="s">
        <v>17</v>
      </c>
      <c r="D487" t="str" cm="1">
        <f t="array" ref="D487">_xlfn.XLOOKUP(1,
    ('team lookup'!$C$3:$C$97 = B487) * ('team lookup'!$A$3:$A$97 &lt;= A487) * (IF('team lookup'!$B$3:$B$97 = "", 9999, 'team lookup'!$B$3:$B$97) &gt;= A487),
    'team lookup'!$E$3:$E$97,
    "Other"
)</f>
        <v>Other</v>
      </c>
      <c r="E487">
        <f t="shared" si="14"/>
        <v>0</v>
      </c>
      <c r="F487">
        <f t="shared" si="15"/>
        <v>0</v>
      </c>
    </row>
    <row r="488" spans="1:6" x14ac:dyDescent="0.35">
      <c r="A488">
        <v>2022</v>
      </c>
      <c r="B488">
        <v>2247</v>
      </c>
      <c r="C488" t="s">
        <v>111</v>
      </c>
      <c r="D488" t="str" cm="1">
        <f t="array" ref="D488">_xlfn.XLOOKUP(1,
    ('team lookup'!$C$3:$C$97 = B488) * ('team lookup'!$A$3:$A$97 &lt;= A488) * (IF('team lookup'!$B$3:$B$97 = "", 9999, 'team lookup'!$B$3:$B$97) &gt;= A488),
    'team lookup'!$E$3:$E$97,
    "Other"
)</f>
        <v>Other</v>
      </c>
      <c r="E488">
        <f t="shared" si="14"/>
        <v>0</v>
      </c>
      <c r="F488">
        <f t="shared" si="15"/>
        <v>0</v>
      </c>
    </row>
    <row r="489" spans="1:6" x14ac:dyDescent="0.35">
      <c r="A489">
        <v>2022</v>
      </c>
      <c r="B489">
        <v>2250</v>
      </c>
      <c r="C489" t="s">
        <v>21</v>
      </c>
      <c r="D489" t="str" cm="1">
        <f t="array" ref="D489">_xlfn.XLOOKUP(1,
    ('team lookup'!$C$3:$C$97 = B489) * ('team lookup'!$A$3:$A$97 &lt;= A489) * (IF('team lookup'!$B$3:$B$97 = "", 9999, 'team lookup'!$B$3:$B$97) &gt;= A489),
    'team lookup'!$E$3:$E$97,
    "Other"
)</f>
        <v>Other</v>
      </c>
      <c r="E489">
        <f t="shared" si="14"/>
        <v>0</v>
      </c>
      <c r="F489">
        <f t="shared" si="15"/>
        <v>0</v>
      </c>
    </row>
    <row r="490" spans="1:6" x14ac:dyDescent="0.35">
      <c r="A490">
        <v>2022</v>
      </c>
      <c r="B490">
        <v>248</v>
      </c>
      <c r="C490" t="s">
        <v>60</v>
      </c>
      <c r="D490" t="str" cm="1">
        <f t="array" ref="D490">_xlfn.XLOOKUP(1,
    ('team lookup'!$C$3:$C$97 = B490) * ('team lookup'!$A$3:$A$97 &lt;= A490) * (IF('team lookup'!$B$3:$B$97 = "", 9999, 'team lookup'!$B$3:$B$97) &gt;= A490),
    'team lookup'!$E$3:$E$97,
    "Other"
)</f>
        <v>Other</v>
      </c>
      <c r="E490">
        <f t="shared" si="14"/>
        <v>0</v>
      </c>
      <c r="F490">
        <f t="shared" si="15"/>
        <v>0</v>
      </c>
    </row>
    <row r="491" spans="1:6" x14ac:dyDescent="0.35">
      <c r="A491">
        <v>2022</v>
      </c>
      <c r="B491">
        <v>356</v>
      </c>
      <c r="C491" t="s">
        <v>49</v>
      </c>
      <c r="D491" t="str" cm="1">
        <f t="array" ref="D491">_xlfn.XLOOKUP(1,
    ('team lookup'!$C$3:$C$97 = B491) * ('team lookup'!$A$3:$A$97 &lt;= A491) * (IF('team lookup'!$B$3:$B$97 = "", 9999, 'team lookup'!$B$3:$B$97) &gt;= A491),
    'team lookup'!$E$3:$E$97,
    "Other"
)</f>
        <v>Big Ten</v>
      </c>
      <c r="E491">
        <f t="shared" si="14"/>
        <v>0</v>
      </c>
      <c r="F491">
        <f t="shared" si="15"/>
        <v>1</v>
      </c>
    </row>
    <row r="492" spans="1:6" x14ac:dyDescent="0.35">
      <c r="A492">
        <v>2022</v>
      </c>
      <c r="B492">
        <v>84</v>
      </c>
      <c r="C492" t="s">
        <v>22</v>
      </c>
      <c r="D492" t="str" cm="1">
        <f t="array" ref="D492">_xlfn.XLOOKUP(1,
    ('team lookup'!$C$3:$C$97 = B492) * ('team lookup'!$A$3:$A$97 &lt;= A492) * (IF('team lookup'!$B$3:$B$97 = "", 9999, 'team lookup'!$B$3:$B$97) &gt;= A492),
    'team lookup'!$E$3:$E$97,
    "Other"
)</f>
        <v>Big Ten</v>
      </c>
      <c r="E492">
        <f t="shared" si="14"/>
        <v>0</v>
      </c>
      <c r="F492">
        <f t="shared" si="15"/>
        <v>1</v>
      </c>
    </row>
    <row r="493" spans="1:6" x14ac:dyDescent="0.35">
      <c r="A493">
        <v>2022</v>
      </c>
      <c r="B493">
        <v>2294</v>
      </c>
      <c r="C493" t="s">
        <v>101</v>
      </c>
      <c r="D493" t="str" cm="1">
        <f t="array" ref="D493">_xlfn.XLOOKUP(1,
    ('team lookup'!$C$3:$C$97 = B493) * ('team lookup'!$A$3:$A$97 &lt;= A493) * (IF('team lookup'!$B$3:$B$97 = "", 9999, 'team lookup'!$B$3:$B$97) &gt;= A493),
    'team lookup'!$E$3:$E$97,
    "Other"
)</f>
        <v>Big Ten</v>
      </c>
      <c r="E493">
        <f t="shared" si="14"/>
        <v>0</v>
      </c>
      <c r="F493">
        <f t="shared" si="15"/>
        <v>1</v>
      </c>
    </row>
    <row r="494" spans="1:6" x14ac:dyDescent="0.35">
      <c r="A494">
        <v>2022</v>
      </c>
      <c r="B494">
        <v>66</v>
      </c>
      <c r="C494" t="s">
        <v>86</v>
      </c>
      <c r="D494" t="str" cm="1">
        <f t="array" ref="D494">_xlfn.XLOOKUP(1,
    ('team lookup'!$C$3:$C$97 = B494) * ('team lookup'!$A$3:$A$97 &lt;= A494) * (IF('team lookup'!$B$3:$B$97 = "", 9999, 'team lookup'!$B$3:$B$97) &gt;= A494),
    'team lookup'!$E$3:$E$97,
    "Other"
)</f>
        <v>Big12</v>
      </c>
      <c r="E494">
        <f t="shared" si="14"/>
        <v>1</v>
      </c>
      <c r="F494">
        <f t="shared" si="15"/>
        <v>1</v>
      </c>
    </row>
    <row r="495" spans="1:6" x14ac:dyDescent="0.35">
      <c r="A495">
        <v>2022</v>
      </c>
      <c r="B495">
        <v>55</v>
      </c>
      <c r="C495" t="s">
        <v>123</v>
      </c>
      <c r="D495" t="str" cm="1">
        <f t="array" ref="D495">_xlfn.XLOOKUP(1,
    ('team lookup'!$C$3:$C$97 = B495) * ('team lookup'!$A$3:$A$97 &lt;= A495) * (IF('team lookup'!$B$3:$B$97 = "", 9999, 'team lookup'!$B$3:$B$97) &gt;= A495),
    'team lookup'!$E$3:$E$97,
    "Other"
)</f>
        <v>Other</v>
      </c>
      <c r="E495">
        <f t="shared" si="14"/>
        <v>0</v>
      </c>
      <c r="F495">
        <f t="shared" si="15"/>
        <v>0</v>
      </c>
    </row>
    <row r="496" spans="1:6" x14ac:dyDescent="0.35">
      <c r="A496">
        <v>2022</v>
      </c>
      <c r="B496">
        <v>2305</v>
      </c>
      <c r="C496" t="s">
        <v>23</v>
      </c>
      <c r="D496" t="str" cm="1">
        <f t="array" ref="D496">_xlfn.XLOOKUP(1,
    ('team lookup'!$C$3:$C$97 = B496) * ('team lookup'!$A$3:$A$97 &lt;= A496) * (IF('team lookup'!$B$3:$B$97 = "", 9999, 'team lookup'!$B$3:$B$97) &gt;= A496),
    'team lookup'!$E$3:$E$97,
    "Other"
)</f>
        <v>Big12</v>
      </c>
      <c r="E496">
        <f t="shared" si="14"/>
        <v>1</v>
      </c>
      <c r="F496">
        <f t="shared" si="15"/>
        <v>1</v>
      </c>
    </row>
    <row r="497" spans="1:6" x14ac:dyDescent="0.35">
      <c r="A497">
        <v>2022</v>
      </c>
      <c r="B497">
        <v>96</v>
      </c>
      <c r="C497" t="s">
        <v>26</v>
      </c>
      <c r="D497" t="str" cm="1">
        <f t="array" ref="D497">_xlfn.XLOOKUP(1,
    ('team lookup'!$C$3:$C$97 = B497) * ('team lookup'!$A$3:$A$97 &lt;= A497) * (IF('team lookup'!$B$3:$B$97 = "", 9999, 'team lookup'!$B$3:$B$97) &gt;= A497),
    'team lookup'!$E$3:$E$97,
    "Other"
)</f>
        <v>SEC</v>
      </c>
      <c r="E497">
        <f t="shared" si="14"/>
        <v>1</v>
      </c>
      <c r="F497">
        <f t="shared" si="15"/>
        <v>1</v>
      </c>
    </row>
    <row r="498" spans="1:6" x14ac:dyDescent="0.35">
      <c r="A498">
        <v>2022</v>
      </c>
      <c r="B498">
        <v>2344</v>
      </c>
      <c r="C498" t="s">
        <v>141</v>
      </c>
      <c r="D498" t="str" cm="1">
        <f t="array" ref="D498">_xlfn.XLOOKUP(1,
    ('team lookup'!$C$3:$C$97 = B498) * ('team lookup'!$A$3:$A$97 &lt;= A498) * (IF('team lookup'!$B$3:$B$97 = "", 9999, 'team lookup'!$B$3:$B$97) &gt;= A498),
    'team lookup'!$E$3:$E$97,
    "Other"
)</f>
        <v>Other</v>
      </c>
      <c r="E498">
        <f t="shared" si="14"/>
        <v>0</v>
      </c>
      <c r="F498">
        <f t="shared" si="15"/>
        <v>0</v>
      </c>
    </row>
    <row r="499" spans="1:6" x14ac:dyDescent="0.35">
      <c r="A499">
        <v>2022</v>
      </c>
      <c r="B499">
        <v>2350</v>
      </c>
      <c r="C499" t="s">
        <v>129</v>
      </c>
      <c r="D499" t="str" cm="1">
        <f t="array" ref="D499">_xlfn.XLOOKUP(1,
    ('team lookup'!$C$3:$C$97 = B499) * ('team lookup'!$A$3:$A$97 &lt;= A499) * (IF('team lookup'!$B$3:$B$97 = "", 9999, 'team lookup'!$B$3:$B$97) &gt;= A499),
    'team lookup'!$E$3:$E$97,
    "Other"
)</f>
        <v>Other</v>
      </c>
      <c r="E499">
        <f t="shared" si="14"/>
        <v>0</v>
      </c>
      <c r="F499">
        <f t="shared" si="15"/>
        <v>0</v>
      </c>
    </row>
    <row r="500" spans="1:6" x14ac:dyDescent="0.35">
      <c r="A500">
        <v>2022</v>
      </c>
      <c r="B500">
        <v>99</v>
      </c>
      <c r="C500" t="s">
        <v>50</v>
      </c>
      <c r="D500" t="str" cm="1">
        <f t="array" ref="D500">_xlfn.XLOOKUP(1,
    ('team lookup'!$C$3:$C$97 = B500) * ('team lookup'!$A$3:$A$97 &lt;= A500) * (IF('team lookup'!$B$3:$B$97 = "", 9999, 'team lookup'!$B$3:$B$97) &gt;= A500),
    'team lookup'!$E$3:$E$97,
    "Other"
)</f>
        <v>SEC</v>
      </c>
      <c r="E500">
        <f t="shared" si="14"/>
        <v>1</v>
      </c>
      <c r="F500">
        <f t="shared" si="15"/>
        <v>1</v>
      </c>
    </row>
    <row r="501" spans="1:6" x14ac:dyDescent="0.35">
      <c r="A501">
        <v>2022</v>
      </c>
      <c r="B501">
        <v>269</v>
      </c>
      <c r="C501" t="s">
        <v>28</v>
      </c>
      <c r="D501" t="str" cm="1">
        <f t="array" ref="D501">_xlfn.XLOOKUP(1,
    ('team lookup'!$C$3:$C$97 = B501) * ('team lookup'!$A$3:$A$97 &lt;= A501) * (IF('team lookup'!$B$3:$B$97 = "", 9999, 'team lookup'!$B$3:$B$97) &gt;= A501),
    'team lookup'!$E$3:$E$97,
    "Other"
)</f>
        <v>Big East</v>
      </c>
      <c r="E501">
        <f t="shared" si="14"/>
        <v>0</v>
      </c>
      <c r="F501">
        <f t="shared" si="15"/>
        <v>1</v>
      </c>
    </row>
    <row r="502" spans="1:6" x14ac:dyDescent="0.35">
      <c r="A502">
        <v>2022</v>
      </c>
      <c r="B502">
        <v>235</v>
      </c>
      <c r="C502" t="s">
        <v>29</v>
      </c>
      <c r="D502" t="str" cm="1">
        <f t="array" ref="D502">_xlfn.XLOOKUP(1,
    ('team lookup'!$C$3:$C$97 = B502) * ('team lookup'!$A$3:$A$97 &lt;= A502) * (IF('team lookup'!$B$3:$B$97 = "", 9999, 'team lookup'!$B$3:$B$97) &gt;= A502),
    'team lookup'!$E$3:$E$97,
    "Other"
)</f>
        <v>Other</v>
      </c>
      <c r="E502">
        <f t="shared" si="14"/>
        <v>0</v>
      </c>
      <c r="F502">
        <f t="shared" si="15"/>
        <v>0</v>
      </c>
    </row>
    <row r="503" spans="1:6" x14ac:dyDescent="0.35">
      <c r="A503">
        <v>2022</v>
      </c>
      <c r="B503">
        <v>2390</v>
      </c>
      <c r="C503" t="s">
        <v>30</v>
      </c>
      <c r="D503" t="str" cm="1">
        <f t="array" ref="D503">_xlfn.XLOOKUP(1,
    ('team lookup'!$C$3:$C$97 = B503) * ('team lookup'!$A$3:$A$97 &lt;= A503) * (IF('team lookup'!$B$3:$B$97 = "", 9999, 'team lookup'!$B$3:$B$97) &gt;= A503),
    'team lookup'!$E$3:$E$97,
    "Other"
)</f>
        <v>ACC</v>
      </c>
      <c r="E503">
        <f t="shared" si="14"/>
        <v>1</v>
      </c>
      <c r="F503">
        <f t="shared" si="15"/>
        <v>1</v>
      </c>
    </row>
    <row r="504" spans="1:6" x14ac:dyDescent="0.35">
      <c r="A504">
        <v>2022</v>
      </c>
      <c r="B504">
        <v>130</v>
      </c>
      <c r="C504" t="s">
        <v>52</v>
      </c>
      <c r="D504" t="str" cm="1">
        <f t="array" ref="D504">_xlfn.XLOOKUP(1,
    ('team lookup'!$C$3:$C$97 = B504) * ('team lookup'!$A$3:$A$97 &lt;= A504) * (IF('team lookup'!$B$3:$B$97 = "", 9999, 'team lookup'!$B$3:$B$97) &gt;= A504),
    'team lookup'!$E$3:$E$97,
    "Other"
)</f>
        <v>Big Ten</v>
      </c>
      <c r="E504">
        <f t="shared" si="14"/>
        <v>0</v>
      </c>
      <c r="F504">
        <f t="shared" si="15"/>
        <v>1</v>
      </c>
    </row>
    <row r="505" spans="1:6" x14ac:dyDescent="0.35">
      <c r="A505">
        <v>2022</v>
      </c>
      <c r="B505">
        <v>127</v>
      </c>
      <c r="C505" t="s">
        <v>31</v>
      </c>
      <c r="D505" t="str" cm="1">
        <f t="array" ref="D505">_xlfn.XLOOKUP(1,
    ('team lookup'!$C$3:$C$97 = B505) * ('team lookup'!$A$3:$A$97 &lt;= A505) * (IF('team lookup'!$B$3:$B$97 = "", 9999, 'team lookup'!$B$3:$B$97) &gt;= A505),
    'team lookup'!$E$3:$E$97,
    "Other"
)</f>
        <v>Big Ten</v>
      </c>
      <c r="E505">
        <f t="shared" si="14"/>
        <v>0</v>
      </c>
      <c r="F505">
        <f t="shared" si="15"/>
        <v>1</v>
      </c>
    </row>
    <row r="506" spans="1:6" x14ac:dyDescent="0.35">
      <c r="A506">
        <v>2022</v>
      </c>
      <c r="B506">
        <v>147</v>
      </c>
      <c r="C506" t="s">
        <v>142</v>
      </c>
      <c r="D506" t="str" cm="1">
        <f t="array" ref="D506">_xlfn.XLOOKUP(1,
    ('team lookup'!$C$3:$C$97 = B506) * ('team lookup'!$A$3:$A$97 &lt;= A506) * (IF('team lookup'!$B$3:$B$97 = "", 9999, 'team lookup'!$B$3:$B$97) &gt;= A506),
    'team lookup'!$E$3:$E$97,
    "Other"
)</f>
        <v>Other</v>
      </c>
      <c r="E506">
        <f t="shared" si="14"/>
        <v>0</v>
      </c>
      <c r="F506">
        <f t="shared" si="15"/>
        <v>0</v>
      </c>
    </row>
    <row r="507" spans="1:6" x14ac:dyDescent="0.35">
      <c r="A507">
        <v>2022</v>
      </c>
      <c r="B507">
        <v>93</v>
      </c>
      <c r="C507" t="s">
        <v>63</v>
      </c>
      <c r="D507" t="str" cm="1">
        <f t="array" ref="D507">_xlfn.XLOOKUP(1,
    ('team lookup'!$C$3:$C$97 = B507) * ('team lookup'!$A$3:$A$97 &lt;= A507) * (IF('team lookup'!$B$3:$B$97 = "", 9999, 'team lookup'!$B$3:$B$97) &gt;= A507),
    'team lookup'!$E$3:$E$97,
    "Other"
)</f>
        <v>Other</v>
      </c>
      <c r="E507">
        <f t="shared" si="14"/>
        <v>0</v>
      </c>
      <c r="F507">
        <f t="shared" si="15"/>
        <v>0</v>
      </c>
    </row>
    <row r="508" spans="1:6" x14ac:dyDescent="0.35">
      <c r="A508">
        <v>2022</v>
      </c>
      <c r="B508">
        <v>166</v>
      </c>
      <c r="C508" t="s">
        <v>65</v>
      </c>
      <c r="D508" t="str" cm="1">
        <f t="array" ref="D508">_xlfn.XLOOKUP(1,
    ('team lookup'!$C$3:$C$97 = B508) * ('team lookup'!$A$3:$A$97 &lt;= A508) * (IF('team lookup'!$B$3:$B$97 = "", 9999, 'team lookup'!$B$3:$B$97) &gt;= A508),
    'team lookup'!$E$3:$E$97,
    "Other"
)</f>
        <v>Other</v>
      </c>
      <c r="E508">
        <f t="shared" si="14"/>
        <v>0</v>
      </c>
      <c r="F508">
        <f t="shared" si="15"/>
        <v>0</v>
      </c>
    </row>
    <row r="509" spans="1:6" x14ac:dyDescent="0.35">
      <c r="A509">
        <v>2023</v>
      </c>
      <c r="B509">
        <v>333</v>
      </c>
      <c r="C509" t="s">
        <v>79</v>
      </c>
      <c r="D509" t="str" cm="1">
        <f t="array" ref="D509">_xlfn.XLOOKUP(1,
    ('team lookup'!$C$3:$C$97 = B509) * ('team lookup'!$A$3:$A$97 &lt;= A509) * (IF('team lookup'!$B$3:$B$97 = "", 9999, 'team lookup'!$B$3:$B$97) &gt;= A509),
    'team lookup'!$E$3:$E$97,
    "Other"
)</f>
        <v>SEC</v>
      </c>
      <c r="E509">
        <f t="shared" si="14"/>
        <v>1</v>
      </c>
      <c r="F509">
        <f t="shared" si="15"/>
        <v>1</v>
      </c>
    </row>
    <row r="510" spans="1:6" x14ac:dyDescent="0.35">
      <c r="A510">
        <v>2023</v>
      </c>
      <c r="B510">
        <v>12</v>
      </c>
      <c r="C510" t="s">
        <v>4</v>
      </c>
      <c r="D510" t="str" cm="1">
        <f t="array" ref="D510">_xlfn.XLOOKUP(1,
    ('team lookup'!$C$3:$C$97 = B510) * ('team lookup'!$A$3:$A$97 &lt;= A510) * (IF('team lookup'!$B$3:$B$97 = "", 9999, 'team lookup'!$B$3:$B$97) &gt;= A510),
    'team lookup'!$E$3:$E$97,
    "Other"
)</f>
        <v>Other</v>
      </c>
      <c r="E510">
        <f t="shared" si="14"/>
        <v>0</v>
      </c>
      <c r="F510">
        <f t="shared" si="15"/>
        <v>0</v>
      </c>
    </row>
    <row r="511" spans="1:6" x14ac:dyDescent="0.35">
      <c r="A511">
        <v>2023</v>
      </c>
      <c r="B511">
        <v>9</v>
      </c>
      <c r="C511" t="s">
        <v>39</v>
      </c>
      <c r="D511" t="str" cm="1">
        <f t="array" ref="D511">_xlfn.XLOOKUP(1,
    ('team lookup'!$C$3:$C$97 = B511) * ('team lookup'!$A$3:$A$97 &lt;= A511) * (IF('team lookup'!$B$3:$B$97 = "", 9999, 'team lookup'!$B$3:$B$97) &gt;= A511),
    'team lookup'!$E$3:$E$97,
    "Other"
)</f>
        <v>Other</v>
      </c>
      <c r="E511">
        <f t="shared" si="14"/>
        <v>0</v>
      </c>
      <c r="F511">
        <f t="shared" si="15"/>
        <v>0</v>
      </c>
    </row>
    <row r="512" spans="1:6" x14ac:dyDescent="0.35">
      <c r="A512">
        <v>2023</v>
      </c>
      <c r="B512">
        <v>8</v>
      </c>
      <c r="C512" t="s">
        <v>5</v>
      </c>
      <c r="D512" t="str" cm="1">
        <f t="array" ref="D512">_xlfn.XLOOKUP(1,
    ('team lookup'!$C$3:$C$97 = B512) * ('team lookup'!$A$3:$A$97 &lt;= A512) * (IF('team lookup'!$B$3:$B$97 = "", 9999, 'team lookup'!$B$3:$B$97) &gt;= A512),
    'team lookup'!$E$3:$E$97,
    "Other"
)</f>
        <v>SEC</v>
      </c>
      <c r="E512">
        <f t="shared" si="14"/>
        <v>1</v>
      </c>
      <c r="F512">
        <f t="shared" si="15"/>
        <v>1</v>
      </c>
    </row>
    <row r="513" spans="1:6" x14ac:dyDescent="0.35">
      <c r="A513">
        <v>2023</v>
      </c>
      <c r="B513">
        <v>2</v>
      </c>
      <c r="C513" t="s">
        <v>126</v>
      </c>
      <c r="D513" t="str" cm="1">
        <f t="array" ref="D513">_xlfn.XLOOKUP(1,
    ('team lookup'!$C$3:$C$97 = B513) * ('team lookup'!$A$3:$A$97 &lt;= A513) * (IF('team lookup'!$B$3:$B$97 = "", 9999, 'team lookup'!$B$3:$B$97) &gt;= A513),
    'team lookup'!$E$3:$E$97,
    "Other"
)</f>
        <v>SEC</v>
      </c>
      <c r="E513">
        <f t="shared" si="14"/>
        <v>1</v>
      </c>
      <c r="F513">
        <f t="shared" si="15"/>
        <v>1</v>
      </c>
    </row>
    <row r="514" spans="1:6" x14ac:dyDescent="0.35">
      <c r="A514">
        <v>2023</v>
      </c>
      <c r="B514">
        <v>239</v>
      </c>
      <c r="C514" t="s">
        <v>7</v>
      </c>
      <c r="D514" t="str" cm="1">
        <f t="array" ref="D514">_xlfn.XLOOKUP(1,
    ('team lookup'!$C$3:$C$97 = B514) * ('team lookup'!$A$3:$A$97 &lt;= A514) * (IF('team lookup'!$B$3:$B$97 = "", 9999, 'team lookup'!$B$3:$B$97) &gt;= A514),
    'team lookup'!$E$3:$E$97,
    "Other"
)</f>
        <v>Big12</v>
      </c>
      <c r="E514">
        <f t="shared" si="14"/>
        <v>1</v>
      </c>
      <c r="F514">
        <f t="shared" si="15"/>
        <v>1</v>
      </c>
    </row>
    <row r="515" spans="1:6" x14ac:dyDescent="0.35">
      <c r="A515">
        <v>2023</v>
      </c>
      <c r="B515">
        <v>68</v>
      </c>
      <c r="C515" t="s">
        <v>9</v>
      </c>
      <c r="D515" t="str" cm="1">
        <f t="array" ref="D515">_xlfn.XLOOKUP(1,
    ('team lookup'!$C$3:$C$97 = B515) * ('team lookup'!$A$3:$A$97 &lt;= A515) * (IF('team lookup'!$B$3:$B$97 = "", 9999, 'team lookup'!$B$3:$B$97) &gt;= A515),
    'team lookup'!$E$3:$E$97,
    "Other"
)</f>
        <v>Other</v>
      </c>
      <c r="E515">
        <f t="shared" ref="E515:E578" si="16">IF(OR(D515="ACC", D515="SEC", D515="Big12"), 1,0)</f>
        <v>0</v>
      </c>
      <c r="F515">
        <f t="shared" ref="F515:F578" si="17">IF(D515&lt;&gt;"Other", 1,0)</f>
        <v>0</v>
      </c>
    </row>
    <row r="516" spans="1:6" x14ac:dyDescent="0.35">
      <c r="A516">
        <v>2023</v>
      </c>
      <c r="B516">
        <v>232</v>
      </c>
      <c r="C516" t="s">
        <v>127</v>
      </c>
      <c r="D516" t="str" cm="1">
        <f t="array" ref="D516">_xlfn.XLOOKUP(1,
    ('team lookup'!$C$3:$C$97 = B516) * ('team lookup'!$A$3:$A$97 &lt;= A516) * (IF('team lookup'!$B$3:$B$97 = "", 9999, 'team lookup'!$B$3:$B$97) &gt;= A516),
    'team lookup'!$E$3:$E$97,
    "Other"
)</f>
        <v>Other</v>
      </c>
      <c r="E516">
        <f t="shared" si="16"/>
        <v>0</v>
      </c>
      <c r="F516">
        <f t="shared" si="17"/>
        <v>0</v>
      </c>
    </row>
    <row r="517" spans="1:6" x14ac:dyDescent="0.35">
      <c r="A517">
        <v>2023</v>
      </c>
      <c r="B517">
        <v>2142</v>
      </c>
      <c r="C517" t="s">
        <v>133</v>
      </c>
      <c r="D517" t="str" cm="1">
        <f t="array" ref="D517">_xlfn.XLOOKUP(1,
    ('team lookup'!$C$3:$C$97 = B517) * ('team lookup'!$A$3:$A$97 &lt;= A517) * (IF('team lookup'!$B$3:$B$97 = "", 9999, 'team lookup'!$B$3:$B$97) &gt;= A517),
    'team lookup'!$E$3:$E$97,
    "Other"
)</f>
        <v>Other</v>
      </c>
      <c r="E517">
        <f t="shared" si="16"/>
        <v>0</v>
      </c>
      <c r="F517">
        <f t="shared" si="17"/>
        <v>0</v>
      </c>
    </row>
    <row r="518" spans="1:6" x14ac:dyDescent="0.35">
      <c r="A518">
        <v>2023</v>
      </c>
      <c r="B518">
        <v>156</v>
      </c>
      <c r="C518" t="s">
        <v>82</v>
      </c>
      <c r="D518" t="str" cm="1">
        <f t="array" ref="D518">_xlfn.XLOOKUP(1,
    ('team lookup'!$C$3:$C$97 = B518) * ('team lookup'!$A$3:$A$97 &lt;= A518) * (IF('team lookup'!$B$3:$B$97 = "", 9999, 'team lookup'!$B$3:$B$97) &gt;= A518),
    'team lookup'!$E$3:$E$97,
    "Other"
)</f>
        <v>Big East</v>
      </c>
      <c r="E518">
        <f t="shared" si="16"/>
        <v>0</v>
      </c>
      <c r="F518">
        <f t="shared" si="17"/>
        <v>1</v>
      </c>
    </row>
    <row r="519" spans="1:6" x14ac:dyDescent="0.35">
      <c r="A519">
        <v>2023</v>
      </c>
      <c r="B519">
        <v>2181</v>
      </c>
      <c r="C519" t="s">
        <v>15</v>
      </c>
      <c r="D519" t="str" cm="1">
        <f t="array" ref="D519">_xlfn.XLOOKUP(1,
    ('team lookup'!$C$3:$C$97 = B519) * ('team lookup'!$A$3:$A$97 &lt;= A519) * (IF('team lookup'!$B$3:$B$97 = "", 9999, 'team lookup'!$B$3:$B$97) &gt;= A519),
    'team lookup'!$E$3:$E$97,
    "Other"
)</f>
        <v>Other</v>
      </c>
      <c r="E519">
        <f t="shared" si="16"/>
        <v>0</v>
      </c>
      <c r="F519">
        <f t="shared" si="17"/>
        <v>0</v>
      </c>
    </row>
    <row r="520" spans="1:6" x14ac:dyDescent="0.35">
      <c r="A520">
        <v>2023</v>
      </c>
      <c r="B520">
        <v>150</v>
      </c>
      <c r="C520" t="s">
        <v>16</v>
      </c>
      <c r="D520" t="str" cm="1">
        <f t="array" ref="D520">_xlfn.XLOOKUP(1,
    ('team lookup'!$C$3:$C$97 = B520) * ('team lookup'!$A$3:$A$97 &lt;= A520) * (IF('team lookup'!$B$3:$B$97 = "", 9999, 'team lookup'!$B$3:$B$97) &gt;= A520),
    'team lookup'!$E$3:$E$97,
    "Other"
)</f>
        <v>ACC</v>
      </c>
      <c r="E520">
        <f t="shared" si="16"/>
        <v>1</v>
      </c>
      <c r="F520">
        <f t="shared" si="17"/>
        <v>1</v>
      </c>
    </row>
    <row r="521" spans="1:6" x14ac:dyDescent="0.35">
      <c r="A521">
        <v>2023</v>
      </c>
      <c r="B521">
        <v>161</v>
      </c>
      <c r="C521" t="s">
        <v>115</v>
      </c>
      <c r="D521" t="str" cm="1">
        <f t="array" ref="D521">_xlfn.XLOOKUP(1,
    ('team lookup'!$C$3:$C$97 = B521) * ('team lookup'!$A$3:$A$97 &lt;= A521) * (IF('team lookup'!$B$3:$B$97 = "", 9999, 'team lookup'!$B$3:$B$97) &gt;= A521),
    'team lookup'!$E$3:$E$97,
    "Other"
)</f>
        <v>Other</v>
      </c>
      <c r="E521">
        <f t="shared" si="16"/>
        <v>0</v>
      </c>
      <c r="F521">
        <f t="shared" si="17"/>
        <v>0</v>
      </c>
    </row>
    <row r="522" spans="1:6" x14ac:dyDescent="0.35">
      <c r="A522">
        <v>2023</v>
      </c>
      <c r="B522">
        <v>2226</v>
      </c>
      <c r="C522" t="s">
        <v>143</v>
      </c>
      <c r="D522" t="str" cm="1">
        <f t="array" ref="D522">_xlfn.XLOOKUP(1,
    ('team lookup'!$C$3:$C$97 = B522) * ('team lookup'!$A$3:$A$97 &lt;= A522) * (IF('team lookup'!$B$3:$B$97 = "", 9999, 'team lookup'!$B$3:$B$97) &gt;= A522),
    'team lookup'!$E$3:$E$97,
    "Other"
)</f>
        <v>Other</v>
      </c>
      <c r="E522">
        <f t="shared" si="16"/>
        <v>0</v>
      </c>
      <c r="F522">
        <f t="shared" si="17"/>
        <v>0</v>
      </c>
    </row>
    <row r="523" spans="1:6" x14ac:dyDescent="0.35">
      <c r="A523">
        <v>2023</v>
      </c>
      <c r="B523">
        <v>231</v>
      </c>
      <c r="C523" t="s">
        <v>144</v>
      </c>
      <c r="D523" t="str" cm="1">
        <f t="array" ref="D523">_xlfn.XLOOKUP(1,
    ('team lookup'!$C$3:$C$97 = B523) * ('team lookup'!$A$3:$A$97 &lt;= A523) * (IF('team lookup'!$B$3:$B$97 = "", 9999, 'team lookup'!$B$3:$B$97) &gt;= A523),
    'team lookup'!$E$3:$E$97,
    "Other"
)</f>
        <v>Other</v>
      </c>
      <c r="E523">
        <f t="shared" si="16"/>
        <v>0</v>
      </c>
      <c r="F523">
        <f t="shared" si="17"/>
        <v>0</v>
      </c>
    </row>
    <row r="524" spans="1:6" x14ac:dyDescent="0.35">
      <c r="A524">
        <v>2023</v>
      </c>
      <c r="B524">
        <v>2250</v>
      </c>
      <c r="C524" t="s">
        <v>21</v>
      </c>
      <c r="D524" t="str" cm="1">
        <f t="array" ref="D524">_xlfn.XLOOKUP(1,
    ('team lookup'!$C$3:$C$97 = B524) * ('team lookup'!$A$3:$A$97 &lt;= A524) * (IF('team lookup'!$B$3:$B$97 = "", 9999, 'team lookup'!$B$3:$B$97) &gt;= A524),
    'team lookup'!$E$3:$E$97,
    "Other"
)</f>
        <v>Other</v>
      </c>
      <c r="E524">
        <f t="shared" si="16"/>
        <v>0</v>
      </c>
      <c r="F524">
        <f t="shared" si="17"/>
        <v>0</v>
      </c>
    </row>
    <row r="525" spans="1:6" x14ac:dyDescent="0.35">
      <c r="A525">
        <v>2023</v>
      </c>
      <c r="B525">
        <v>2253</v>
      </c>
      <c r="C525" t="s">
        <v>137</v>
      </c>
      <c r="D525" t="str" cm="1">
        <f t="array" ref="D525">_xlfn.XLOOKUP(1,
    ('team lookup'!$C$3:$C$97 = B525) * ('team lookup'!$A$3:$A$97 &lt;= A525) * (IF('team lookup'!$B$3:$B$97 = "", 9999, 'team lookup'!$B$3:$B$97) &gt;= A525),
    'team lookup'!$E$3:$E$97,
    "Other"
)</f>
        <v>Other</v>
      </c>
      <c r="E525">
        <f t="shared" si="16"/>
        <v>0</v>
      </c>
      <c r="F525">
        <f t="shared" si="17"/>
        <v>0</v>
      </c>
    </row>
    <row r="526" spans="1:6" x14ac:dyDescent="0.35">
      <c r="A526">
        <v>2023</v>
      </c>
      <c r="B526">
        <v>248</v>
      </c>
      <c r="C526" t="s">
        <v>60</v>
      </c>
      <c r="D526" t="str" cm="1">
        <f t="array" ref="D526">_xlfn.XLOOKUP(1,
    ('team lookup'!$C$3:$C$97 = B526) * ('team lookup'!$A$3:$A$97 &lt;= A526) * (IF('team lookup'!$B$3:$B$97 = "", 9999, 'team lookup'!$B$3:$B$97) &gt;= A526),
    'team lookup'!$E$3:$E$97,
    "Other"
)</f>
        <v>Other</v>
      </c>
      <c r="E526">
        <f t="shared" si="16"/>
        <v>0</v>
      </c>
      <c r="F526">
        <f t="shared" si="17"/>
        <v>0</v>
      </c>
    </row>
    <row r="527" spans="1:6" x14ac:dyDescent="0.35">
      <c r="A527">
        <v>2023</v>
      </c>
      <c r="B527">
        <v>47</v>
      </c>
      <c r="C527" t="s">
        <v>145</v>
      </c>
      <c r="D527" t="str" cm="1">
        <f t="array" ref="D527">_xlfn.XLOOKUP(1,
    ('team lookup'!$C$3:$C$97 = B527) * ('team lookup'!$A$3:$A$97 &lt;= A527) * (IF('team lookup'!$B$3:$B$97 = "", 9999, 'team lookup'!$B$3:$B$97) &gt;= A527),
    'team lookup'!$E$3:$E$97,
    "Other"
)</f>
        <v>Other</v>
      </c>
      <c r="E527">
        <f t="shared" si="16"/>
        <v>0</v>
      </c>
      <c r="F527">
        <f t="shared" si="17"/>
        <v>0</v>
      </c>
    </row>
    <row r="528" spans="1:6" x14ac:dyDescent="0.35">
      <c r="A528">
        <v>2023</v>
      </c>
      <c r="B528">
        <v>356</v>
      </c>
      <c r="C528" t="s">
        <v>49</v>
      </c>
      <c r="D528" t="str" cm="1">
        <f t="array" ref="D528">_xlfn.XLOOKUP(1,
    ('team lookup'!$C$3:$C$97 = B528) * ('team lookup'!$A$3:$A$97 &lt;= A528) * (IF('team lookup'!$B$3:$B$97 = "", 9999, 'team lookup'!$B$3:$B$97) &gt;= A528),
    'team lookup'!$E$3:$E$97,
    "Other"
)</f>
        <v>Big Ten</v>
      </c>
      <c r="E528">
        <f t="shared" si="16"/>
        <v>0</v>
      </c>
      <c r="F528">
        <f t="shared" si="17"/>
        <v>1</v>
      </c>
    </row>
    <row r="529" spans="1:6" x14ac:dyDescent="0.35">
      <c r="A529">
        <v>2023</v>
      </c>
      <c r="B529">
        <v>84</v>
      </c>
      <c r="C529" t="s">
        <v>22</v>
      </c>
      <c r="D529" t="str" cm="1">
        <f t="array" ref="D529">_xlfn.XLOOKUP(1,
    ('team lookup'!$C$3:$C$97 = B529) * ('team lookup'!$A$3:$A$97 &lt;= A529) * (IF('team lookup'!$B$3:$B$97 = "", 9999, 'team lookup'!$B$3:$B$97) &gt;= A529),
    'team lookup'!$E$3:$E$97,
    "Other"
)</f>
        <v>Big Ten</v>
      </c>
      <c r="E529">
        <f t="shared" si="16"/>
        <v>0</v>
      </c>
      <c r="F529">
        <f t="shared" si="17"/>
        <v>1</v>
      </c>
    </row>
    <row r="530" spans="1:6" x14ac:dyDescent="0.35">
      <c r="A530">
        <v>2023</v>
      </c>
      <c r="B530">
        <v>314</v>
      </c>
      <c r="C530" t="s">
        <v>85</v>
      </c>
      <c r="D530" t="str" cm="1">
        <f t="array" ref="D530">_xlfn.XLOOKUP(1,
    ('team lookup'!$C$3:$C$97 = B530) * ('team lookup'!$A$3:$A$97 &lt;= A530) * (IF('team lookup'!$B$3:$B$97 = "", 9999, 'team lookup'!$B$3:$B$97) &gt;= A530),
    'team lookup'!$E$3:$E$97,
    "Other"
)</f>
        <v>Other</v>
      </c>
      <c r="E530">
        <f t="shared" si="16"/>
        <v>0</v>
      </c>
      <c r="F530">
        <f t="shared" si="17"/>
        <v>0</v>
      </c>
    </row>
    <row r="531" spans="1:6" x14ac:dyDescent="0.35">
      <c r="A531">
        <v>2023</v>
      </c>
      <c r="B531">
        <v>2294</v>
      </c>
      <c r="C531" t="s">
        <v>101</v>
      </c>
      <c r="D531" t="str" cm="1">
        <f t="array" ref="D531">_xlfn.XLOOKUP(1,
    ('team lookup'!$C$3:$C$97 = B531) * ('team lookup'!$A$3:$A$97 &lt;= A531) * (IF('team lookup'!$B$3:$B$97 = "", 9999, 'team lookup'!$B$3:$B$97) &gt;= A531),
    'team lookup'!$E$3:$E$97,
    "Other"
)</f>
        <v>Big Ten</v>
      </c>
      <c r="E531">
        <f t="shared" si="16"/>
        <v>0</v>
      </c>
      <c r="F531">
        <f t="shared" si="17"/>
        <v>1</v>
      </c>
    </row>
    <row r="532" spans="1:6" x14ac:dyDescent="0.35">
      <c r="A532">
        <v>2023</v>
      </c>
      <c r="B532">
        <v>66</v>
      </c>
      <c r="C532" t="s">
        <v>86</v>
      </c>
      <c r="D532" t="str" cm="1">
        <f t="array" ref="D532">_xlfn.XLOOKUP(1,
    ('team lookup'!$C$3:$C$97 = B532) * ('team lookup'!$A$3:$A$97 &lt;= A532) * (IF('team lookup'!$B$3:$B$97 = "", 9999, 'team lookup'!$B$3:$B$97) &gt;= A532),
    'team lookup'!$E$3:$E$97,
    "Other"
)</f>
        <v>Big12</v>
      </c>
      <c r="E532">
        <f t="shared" si="16"/>
        <v>1</v>
      </c>
      <c r="F532">
        <f t="shared" si="17"/>
        <v>1</v>
      </c>
    </row>
    <row r="533" spans="1:6" x14ac:dyDescent="0.35">
      <c r="A533">
        <v>2023</v>
      </c>
      <c r="B533">
        <v>2305</v>
      </c>
      <c r="C533" t="s">
        <v>23</v>
      </c>
      <c r="D533" t="str" cm="1">
        <f t="array" ref="D533">_xlfn.XLOOKUP(1,
    ('team lookup'!$C$3:$C$97 = B533) * ('team lookup'!$A$3:$A$97 &lt;= A533) * (IF('team lookup'!$B$3:$B$97 = "", 9999, 'team lookup'!$B$3:$B$97) &gt;= A533),
    'team lookup'!$E$3:$E$97,
    "Other"
)</f>
        <v>Big12</v>
      </c>
      <c r="E533">
        <f t="shared" si="16"/>
        <v>1</v>
      </c>
      <c r="F533">
        <f t="shared" si="17"/>
        <v>1</v>
      </c>
    </row>
    <row r="534" spans="1:6" x14ac:dyDescent="0.35">
      <c r="A534">
        <v>2023</v>
      </c>
      <c r="B534">
        <v>2306</v>
      </c>
      <c r="C534" t="s">
        <v>24</v>
      </c>
      <c r="D534" t="str" cm="1">
        <f t="array" ref="D534">_xlfn.XLOOKUP(1,
    ('team lookup'!$C$3:$C$97 = B534) * ('team lookup'!$A$3:$A$97 &lt;= A534) * (IF('team lookup'!$B$3:$B$97 = "", 9999, 'team lookup'!$B$3:$B$97) &gt;= A534),
    'team lookup'!$E$3:$E$97,
    "Other"
)</f>
        <v>Big12</v>
      </c>
      <c r="E534">
        <f t="shared" si="16"/>
        <v>1</v>
      </c>
      <c r="F534">
        <f t="shared" si="17"/>
        <v>1</v>
      </c>
    </row>
    <row r="535" spans="1:6" x14ac:dyDescent="0.35">
      <c r="A535">
        <v>2023</v>
      </c>
      <c r="B535">
        <v>338</v>
      </c>
      <c r="C535" t="s">
        <v>146</v>
      </c>
      <c r="D535" t="str" cm="1">
        <f t="array" ref="D535">_xlfn.XLOOKUP(1,
    ('team lookup'!$C$3:$C$97 = B535) * ('team lookup'!$A$3:$A$97 &lt;= A535) * (IF('team lookup'!$B$3:$B$97 = "", 9999, 'team lookup'!$B$3:$B$97) &gt;= A535),
    'team lookup'!$E$3:$E$97,
    "Other"
)</f>
        <v>Other</v>
      </c>
      <c r="E535">
        <f t="shared" si="16"/>
        <v>0</v>
      </c>
      <c r="F535">
        <f t="shared" si="17"/>
        <v>0</v>
      </c>
    </row>
    <row r="536" spans="1:6" x14ac:dyDescent="0.35">
      <c r="A536">
        <v>2023</v>
      </c>
      <c r="B536">
        <v>2309</v>
      </c>
      <c r="C536" t="s">
        <v>25</v>
      </c>
      <c r="D536" t="str" cm="1">
        <f t="array" ref="D536">_xlfn.XLOOKUP(1,
    ('team lookup'!$C$3:$C$97 = B536) * ('team lookup'!$A$3:$A$97 &lt;= A536) * (IF('team lookup'!$B$3:$B$97 = "", 9999, 'team lookup'!$B$3:$B$97) &gt;= A536),
    'team lookup'!$E$3:$E$97,
    "Other"
)</f>
        <v>Other</v>
      </c>
      <c r="E536">
        <f t="shared" si="16"/>
        <v>0</v>
      </c>
      <c r="F536">
        <f t="shared" si="17"/>
        <v>0</v>
      </c>
    </row>
    <row r="537" spans="1:6" x14ac:dyDescent="0.35">
      <c r="A537">
        <v>2023</v>
      </c>
      <c r="B537">
        <v>96</v>
      </c>
      <c r="C537" t="s">
        <v>26</v>
      </c>
      <c r="D537" t="str" cm="1">
        <f t="array" ref="D537">_xlfn.XLOOKUP(1,
    ('team lookup'!$C$3:$C$97 = B537) * ('team lookup'!$A$3:$A$97 &lt;= A537) * (IF('team lookup'!$B$3:$B$97 = "", 9999, 'team lookup'!$B$3:$B$97) &gt;= A537),
    'team lookup'!$E$3:$E$97,
    "Other"
)</f>
        <v>SEC</v>
      </c>
      <c r="E537">
        <f t="shared" si="16"/>
        <v>1</v>
      </c>
      <c r="F537">
        <f t="shared" si="17"/>
        <v>1</v>
      </c>
    </row>
    <row r="538" spans="1:6" x14ac:dyDescent="0.35">
      <c r="A538">
        <v>2023</v>
      </c>
      <c r="B538">
        <v>309</v>
      </c>
      <c r="C538" t="s">
        <v>102</v>
      </c>
      <c r="D538" t="str" cm="1">
        <f t="array" ref="D538">_xlfn.XLOOKUP(1,
    ('team lookup'!$C$3:$C$97 = B538) * ('team lookup'!$A$3:$A$97 &lt;= A538) * (IF('team lookup'!$B$3:$B$97 = "", 9999, 'team lookup'!$B$3:$B$97) &gt;= A538),
    'team lookup'!$E$3:$E$97,
    "Other"
)</f>
        <v>Other</v>
      </c>
      <c r="E538">
        <f t="shared" si="16"/>
        <v>0</v>
      </c>
      <c r="F538">
        <f t="shared" si="17"/>
        <v>0</v>
      </c>
    </row>
    <row r="539" spans="1:6" x14ac:dyDescent="0.35">
      <c r="A539">
        <v>2023</v>
      </c>
      <c r="B539">
        <v>269</v>
      </c>
      <c r="C539" t="s">
        <v>28</v>
      </c>
      <c r="D539" t="str" cm="1">
        <f t="array" ref="D539">_xlfn.XLOOKUP(1,
    ('team lookup'!$C$3:$C$97 = B539) * ('team lookup'!$A$3:$A$97 &lt;= A539) * (IF('team lookup'!$B$3:$B$97 = "", 9999, 'team lookup'!$B$3:$B$97) &gt;= A539),
    'team lookup'!$E$3:$E$97,
    "Other"
)</f>
        <v>Big East</v>
      </c>
      <c r="E539">
        <f t="shared" si="16"/>
        <v>0</v>
      </c>
      <c r="F539">
        <f t="shared" si="17"/>
        <v>1</v>
      </c>
    </row>
    <row r="540" spans="1:6" x14ac:dyDescent="0.35">
      <c r="A540">
        <v>2023</v>
      </c>
      <c r="B540">
        <v>120</v>
      </c>
      <c r="C540" t="s">
        <v>51</v>
      </c>
      <c r="D540" t="str" cm="1">
        <f t="array" ref="D540">_xlfn.XLOOKUP(1,
    ('team lookup'!$C$3:$C$97 = B540) * ('team lookup'!$A$3:$A$97 &lt;= A540) * (IF('team lookup'!$B$3:$B$97 = "", 9999, 'team lookup'!$B$3:$B$97) &gt;= A540),
    'team lookup'!$E$3:$E$97,
    "Other"
)</f>
        <v>Big Ten</v>
      </c>
      <c r="E540">
        <f t="shared" si="16"/>
        <v>0</v>
      </c>
      <c r="F540">
        <f t="shared" si="17"/>
        <v>1</v>
      </c>
    </row>
    <row r="541" spans="1:6" x14ac:dyDescent="0.35">
      <c r="A541">
        <v>2023</v>
      </c>
      <c r="B541">
        <v>235</v>
      </c>
      <c r="C541" t="s">
        <v>29</v>
      </c>
      <c r="D541" t="str" cm="1">
        <f t="array" ref="D541">_xlfn.XLOOKUP(1,
    ('team lookup'!$C$3:$C$97 = B541) * ('team lookup'!$A$3:$A$97 &lt;= A541) * (IF('team lookup'!$B$3:$B$97 = "", 9999, 'team lookup'!$B$3:$B$97) &gt;= A541),
    'team lookup'!$E$3:$E$97,
    "Other"
)</f>
        <v>Other</v>
      </c>
      <c r="E541">
        <f t="shared" si="16"/>
        <v>0</v>
      </c>
      <c r="F541">
        <f t="shared" si="17"/>
        <v>0</v>
      </c>
    </row>
    <row r="542" spans="1:6" x14ac:dyDescent="0.35">
      <c r="A542">
        <v>2023</v>
      </c>
      <c r="B542">
        <v>2390</v>
      </c>
      <c r="C542" t="s">
        <v>30</v>
      </c>
      <c r="D542" t="str" cm="1">
        <f t="array" ref="D542">_xlfn.XLOOKUP(1,
    ('team lookup'!$C$3:$C$97 = B542) * ('team lookup'!$A$3:$A$97 &lt;= A542) * (IF('team lookup'!$B$3:$B$97 = "", 9999, 'team lookup'!$B$3:$B$97) &gt;= A542),
    'team lookup'!$E$3:$E$97,
    "Other"
)</f>
        <v>ACC</v>
      </c>
      <c r="E542">
        <f t="shared" si="16"/>
        <v>1</v>
      </c>
      <c r="F542">
        <f t="shared" si="17"/>
        <v>1</v>
      </c>
    </row>
    <row r="543" spans="1:6" x14ac:dyDescent="0.35">
      <c r="A543">
        <v>2023</v>
      </c>
      <c r="B543">
        <v>127</v>
      </c>
      <c r="C543" t="s">
        <v>31</v>
      </c>
      <c r="D543" t="str" cm="1">
        <f t="array" ref="D543">_xlfn.XLOOKUP(1,
    ('team lookup'!$C$3:$C$97 = B543) * ('team lookup'!$A$3:$A$97 &lt;= A543) * (IF('team lookup'!$B$3:$B$97 = "", 9999, 'team lookup'!$B$3:$B$97) &gt;= A543),
    'team lookup'!$E$3:$E$97,
    "Other"
)</f>
        <v>Big Ten</v>
      </c>
      <c r="E543">
        <f t="shared" si="16"/>
        <v>0</v>
      </c>
      <c r="F543">
        <f t="shared" si="17"/>
        <v>1</v>
      </c>
    </row>
    <row r="544" spans="1:6" x14ac:dyDescent="0.35">
      <c r="A544">
        <v>2023</v>
      </c>
      <c r="B544">
        <v>344</v>
      </c>
      <c r="C544" t="s">
        <v>33</v>
      </c>
      <c r="D544" t="str" cm="1">
        <f t="array" ref="D544">_xlfn.XLOOKUP(1,
    ('team lookup'!$C$3:$C$97 = B544) * ('team lookup'!$A$3:$A$97 &lt;= A544) * (IF('team lookup'!$B$3:$B$97 = "", 9999, 'team lookup'!$B$3:$B$97) &gt;= A544),
    'team lookup'!$E$3:$E$97,
    "Other"
)</f>
        <v>SEC</v>
      </c>
      <c r="E544">
        <f t="shared" si="16"/>
        <v>1</v>
      </c>
      <c r="F544">
        <f t="shared" si="17"/>
        <v>1</v>
      </c>
    </row>
    <row r="545" spans="1:6" x14ac:dyDescent="0.35">
      <c r="A545">
        <v>2023</v>
      </c>
      <c r="B545">
        <v>142</v>
      </c>
      <c r="C545" t="s">
        <v>54</v>
      </c>
      <c r="D545" t="str" cm="1">
        <f t="array" ref="D545">_xlfn.XLOOKUP(1,
    ('team lookup'!$C$3:$C$97 = B545) * ('team lookup'!$A$3:$A$97 &lt;= A545) * (IF('team lookup'!$B$3:$B$97 = "", 9999, 'team lookup'!$B$3:$B$97) &gt;= A545),
    'team lookup'!$E$3:$E$97,
    "Other"
)</f>
        <v>SEC</v>
      </c>
      <c r="E545">
        <f t="shared" si="16"/>
        <v>1</v>
      </c>
      <c r="F545">
        <f t="shared" si="17"/>
        <v>1</v>
      </c>
    </row>
    <row r="546" spans="1:6" x14ac:dyDescent="0.35">
      <c r="A546">
        <v>2024</v>
      </c>
      <c r="B546">
        <v>2006</v>
      </c>
      <c r="C546" t="s">
        <v>37</v>
      </c>
      <c r="D546" t="str" cm="1">
        <f t="array" ref="D546">_xlfn.XLOOKUP(1,
    ('team lookup'!$C$3:$C$97 = B546) * ('team lookup'!$A$3:$A$97 &lt;= A546) * (IF('team lookup'!$B$3:$B$97 = "", 9999, 'team lookup'!$B$3:$B$97) &gt;= A546),
    'team lookup'!$E$3:$E$97,
    "Other"
)</f>
        <v>Other</v>
      </c>
      <c r="E546">
        <f t="shared" si="16"/>
        <v>0</v>
      </c>
      <c r="F546">
        <f t="shared" si="17"/>
        <v>0</v>
      </c>
    </row>
    <row r="547" spans="1:6" x14ac:dyDescent="0.35">
      <c r="A547">
        <v>2024</v>
      </c>
      <c r="B547">
        <v>333</v>
      </c>
      <c r="C547" t="s">
        <v>79</v>
      </c>
      <c r="D547" t="str" cm="1">
        <f t="array" ref="D547">_xlfn.XLOOKUP(1,
    ('team lookup'!$C$3:$C$97 = B547) * ('team lookup'!$A$3:$A$97 &lt;= A547) * (IF('team lookup'!$B$3:$B$97 = "", 9999, 'team lookup'!$B$3:$B$97) &gt;= A547),
    'team lookup'!$E$3:$E$97,
    "Other"
)</f>
        <v>SEC</v>
      </c>
      <c r="E547">
        <f t="shared" si="16"/>
        <v>1</v>
      </c>
      <c r="F547">
        <f t="shared" si="17"/>
        <v>1</v>
      </c>
    </row>
    <row r="548" spans="1:6" x14ac:dyDescent="0.35">
      <c r="A548">
        <v>2024</v>
      </c>
      <c r="B548">
        <v>12</v>
      </c>
      <c r="C548" t="s">
        <v>4</v>
      </c>
      <c r="D548" t="str" cm="1">
        <f t="array" ref="D548">_xlfn.XLOOKUP(1,
    ('team lookup'!$C$3:$C$97 = B548) * ('team lookup'!$A$3:$A$97 &lt;= A548) * (IF('team lookup'!$B$3:$B$97 = "", 9999, 'team lookup'!$B$3:$B$97) &gt;= A548),
    'team lookup'!$E$3:$E$97,
    "Other"
)</f>
        <v>Other</v>
      </c>
      <c r="E548">
        <f t="shared" si="16"/>
        <v>0</v>
      </c>
      <c r="F548">
        <f t="shared" si="17"/>
        <v>0</v>
      </c>
    </row>
    <row r="549" spans="1:6" x14ac:dyDescent="0.35">
      <c r="A549">
        <v>2024</v>
      </c>
      <c r="B549">
        <v>2</v>
      </c>
      <c r="C549" t="s">
        <v>126</v>
      </c>
      <c r="D549" t="str" cm="1">
        <f t="array" ref="D549">_xlfn.XLOOKUP(1,
    ('team lookup'!$C$3:$C$97 = B549) * ('team lookup'!$A$3:$A$97 &lt;= A549) * (IF('team lookup'!$B$3:$B$97 = "", 9999, 'team lookup'!$B$3:$B$97) &gt;= A549),
    'team lookup'!$E$3:$E$97,
    "Other"
)</f>
        <v>SEC</v>
      </c>
      <c r="E549">
        <f t="shared" si="16"/>
        <v>1</v>
      </c>
      <c r="F549">
        <f t="shared" si="17"/>
        <v>1</v>
      </c>
    </row>
    <row r="550" spans="1:6" x14ac:dyDescent="0.35">
      <c r="A550">
        <v>2024</v>
      </c>
      <c r="B550">
        <v>239</v>
      </c>
      <c r="C550" t="s">
        <v>7</v>
      </c>
      <c r="D550" t="str" cm="1">
        <f t="array" ref="D550">_xlfn.XLOOKUP(1,
    ('team lookup'!$C$3:$C$97 = B550) * ('team lookup'!$A$3:$A$97 &lt;= A550) * (IF('team lookup'!$B$3:$B$97 = "", 9999, 'team lookup'!$B$3:$B$97) &gt;= A550),
    'team lookup'!$E$3:$E$97,
    "Other"
)</f>
        <v>Big12</v>
      </c>
      <c r="E550">
        <f t="shared" si="16"/>
        <v>1</v>
      </c>
      <c r="F550">
        <f t="shared" si="17"/>
        <v>1</v>
      </c>
    </row>
    <row r="551" spans="1:6" x14ac:dyDescent="0.35">
      <c r="A551">
        <v>2024</v>
      </c>
      <c r="B551">
        <v>68</v>
      </c>
      <c r="C551" t="s">
        <v>9</v>
      </c>
      <c r="D551" t="str" cm="1">
        <f t="array" ref="D551">_xlfn.XLOOKUP(1,
    ('team lookup'!$C$3:$C$97 = B551) * ('team lookup'!$A$3:$A$97 &lt;= A551) * (IF('team lookup'!$B$3:$B$97 = "", 9999, 'team lookup'!$B$3:$B$97) &gt;= A551),
    'team lookup'!$E$3:$E$97,
    "Other"
)</f>
        <v>Other</v>
      </c>
      <c r="E551">
        <f t="shared" si="16"/>
        <v>0</v>
      </c>
      <c r="F551">
        <f t="shared" si="17"/>
        <v>0</v>
      </c>
    </row>
    <row r="552" spans="1:6" x14ac:dyDescent="0.35">
      <c r="A552">
        <v>2024</v>
      </c>
      <c r="B552">
        <v>252</v>
      </c>
      <c r="C552" t="s">
        <v>11</v>
      </c>
      <c r="D552" t="str" cm="1">
        <f t="array" ref="D552">_xlfn.XLOOKUP(1,
    ('team lookup'!$C$3:$C$97 = B552) * ('team lookup'!$A$3:$A$97 &lt;= A552) * (IF('team lookup'!$B$3:$B$97 = "", 9999, 'team lookup'!$B$3:$B$97) &gt;= A552),
    'team lookup'!$E$3:$E$97,
    "Other"
)</f>
        <v>Big12</v>
      </c>
      <c r="E552">
        <f t="shared" si="16"/>
        <v>1</v>
      </c>
      <c r="F552">
        <f t="shared" si="17"/>
        <v>1</v>
      </c>
    </row>
    <row r="553" spans="1:6" x14ac:dyDescent="0.35">
      <c r="A553">
        <v>2024</v>
      </c>
      <c r="B553">
        <v>232</v>
      </c>
      <c r="C553" t="s">
        <v>127</v>
      </c>
      <c r="D553" t="str" cm="1">
        <f t="array" ref="D553">_xlfn.XLOOKUP(1,
    ('team lookup'!$C$3:$C$97 = B553) * ('team lookup'!$A$3:$A$97 &lt;= A553) * (IF('team lookup'!$B$3:$B$97 = "", 9999, 'team lookup'!$B$3:$B$97) &gt;= A553),
    'team lookup'!$E$3:$E$97,
    "Other"
)</f>
        <v>Other</v>
      </c>
      <c r="E553">
        <f t="shared" si="16"/>
        <v>0</v>
      </c>
      <c r="F553">
        <f t="shared" si="17"/>
        <v>0</v>
      </c>
    </row>
    <row r="554" spans="1:6" x14ac:dyDescent="0.35">
      <c r="A554">
        <v>2024</v>
      </c>
      <c r="B554">
        <v>228</v>
      </c>
      <c r="C554" t="s">
        <v>12</v>
      </c>
      <c r="D554" t="str" cm="1">
        <f t="array" ref="D554">_xlfn.XLOOKUP(1,
    ('team lookup'!$C$3:$C$97 = B554) * ('team lookup'!$A$3:$A$97 &lt;= A554) * (IF('team lookup'!$B$3:$B$97 = "", 9999, 'team lookup'!$B$3:$B$97) &gt;= A554),
    'team lookup'!$E$3:$E$97,
    "Other"
)</f>
        <v>ACC</v>
      </c>
      <c r="E554">
        <f t="shared" si="16"/>
        <v>1</v>
      </c>
      <c r="F554">
        <f t="shared" si="17"/>
        <v>1</v>
      </c>
    </row>
    <row r="555" spans="1:6" x14ac:dyDescent="0.35">
      <c r="A555">
        <v>2024</v>
      </c>
      <c r="B555">
        <v>2142</v>
      </c>
      <c r="C555" t="s">
        <v>133</v>
      </c>
      <c r="D555" t="str" cm="1">
        <f t="array" ref="D555">_xlfn.XLOOKUP(1,
    ('team lookup'!$C$3:$C$97 = B555) * ('team lookup'!$A$3:$A$97 &lt;= A555) * (IF('team lookup'!$B$3:$B$97 = "", 9999, 'team lookup'!$B$3:$B$97) &gt;= A555),
    'team lookup'!$E$3:$E$97,
    "Other"
)</f>
        <v>Other</v>
      </c>
      <c r="E555">
        <f t="shared" si="16"/>
        <v>0</v>
      </c>
      <c r="F555">
        <f t="shared" si="17"/>
        <v>0</v>
      </c>
    </row>
    <row r="556" spans="1:6" x14ac:dyDescent="0.35">
      <c r="A556">
        <v>2024</v>
      </c>
      <c r="B556">
        <v>38</v>
      </c>
      <c r="C556" t="s">
        <v>80</v>
      </c>
      <c r="D556" t="str" cm="1">
        <f t="array" ref="D556">_xlfn.XLOOKUP(1,
    ('team lookup'!$C$3:$C$97 = B556) * ('team lookup'!$A$3:$A$97 &lt;= A556) * (IF('team lookup'!$B$3:$B$97 = "", 9999, 'team lookup'!$B$3:$B$97) &gt;= A556),
    'team lookup'!$E$3:$E$97,
    "Other"
)</f>
        <v>Other</v>
      </c>
      <c r="E556">
        <f t="shared" si="16"/>
        <v>0</v>
      </c>
      <c r="F556">
        <f t="shared" si="17"/>
        <v>0</v>
      </c>
    </row>
    <row r="557" spans="1:6" x14ac:dyDescent="0.35">
      <c r="A557">
        <v>2024</v>
      </c>
      <c r="B557">
        <v>36</v>
      </c>
      <c r="C557" t="s">
        <v>81</v>
      </c>
      <c r="D557" t="str" cm="1">
        <f t="array" ref="D557">_xlfn.XLOOKUP(1,
    ('team lookup'!$C$3:$C$97 = B557) * ('team lookup'!$A$3:$A$97 &lt;= A557) * (IF('team lookup'!$B$3:$B$97 = "", 9999, 'team lookup'!$B$3:$B$97) &gt;= A557),
    'team lookup'!$E$3:$E$97,
    "Other"
)</f>
        <v>Other</v>
      </c>
      <c r="E557">
        <f t="shared" si="16"/>
        <v>0</v>
      </c>
      <c r="F557">
        <f t="shared" si="17"/>
        <v>0</v>
      </c>
    </row>
    <row r="558" spans="1:6" x14ac:dyDescent="0.35">
      <c r="A558">
        <v>2024</v>
      </c>
      <c r="B558">
        <v>156</v>
      </c>
      <c r="C558" t="s">
        <v>82</v>
      </c>
      <c r="D558" t="str" cm="1">
        <f t="array" ref="D558">_xlfn.XLOOKUP(1,
    ('team lookup'!$C$3:$C$97 = B558) * ('team lookup'!$A$3:$A$97 &lt;= A558) * (IF('team lookup'!$B$3:$B$97 = "", 9999, 'team lookup'!$B$3:$B$97) &gt;= A558),
    'team lookup'!$E$3:$E$97,
    "Other"
)</f>
        <v>Big East</v>
      </c>
      <c r="E558">
        <f t="shared" si="16"/>
        <v>0</v>
      </c>
      <c r="F558">
        <f t="shared" si="17"/>
        <v>1</v>
      </c>
    </row>
    <row r="559" spans="1:6" x14ac:dyDescent="0.35">
      <c r="A559">
        <v>2024</v>
      </c>
      <c r="B559">
        <v>2168</v>
      </c>
      <c r="C559" t="s">
        <v>46</v>
      </c>
      <c r="D559" t="str" cm="1">
        <f t="array" ref="D559">_xlfn.XLOOKUP(1,
    ('team lookup'!$C$3:$C$97 = B559) * ('team lookup'!$A$3:$A$97 &lt;= A559) * (IF('team lookup'!$B$3:$B$97 = "", 9999, 'team lookup'!$B$3:$B$97) &gt;= A559),
    'team lookup'!$E$3:$E$97,
    "Other"
)</f>
        <v>Other</v>
      </c>
      <c r="E559">
        <f t="shared" si="16"/>
        <v>0</v>
      </c>
      <c r="F559">
        <f t="shared" si="17"/>
        <v>0</v>
      </c>
    </row>
    <row r="560" spans="1:6" x14ac:dyDescent="0.35">
      <c r="A560">
        <v>2024</v>
      </c>
      <c r="B560">
        <v>2181</v>
      </c>
      <c r="C560" t="s">
        <v>15</v>
      </c>
      <c r="D560" t="str" cm="1">
        <f t="array" ref="D560">_xlfn.XLOOKUP(1,
    ('team lookup'!$C$3:$C$97 = B560) * ('team lookup'!$A$3:$A$97 &lt;= A560) * (IF('team lookup'!$B$3:$B$97 = "", 9999, 'team lookup'!$B$3:$B$97) &gt;= A560),
    'team lookup'!$E$3:$E$97,
    "Other"
)</f>
        <v>Other</v>
      </c>
      <c r="E560">
        <f t="shared" si="16"/>
        <v>0</v>
      </c>
      <c r="F560">
        <f t="shared" si="17"/>
        <v>0</v>
      </c>
    </row>
    <row r="561" spans="1:6" x14ac:dyDescent="0.35">
      <c r="A561">
        <v>2024</v>
      </c>
      <c r="B561">
        <v>150</v>
      </c>
      <c r="C561" t="s">
        <v>16</v>
      </c>
      <c r="D561" t="str" cm="1">
        <f t="array" ref="D561">_xlfn.XLOOKUP(1,
    ('team lookup'!$C$3:$C$97 = B561) * ('team lookup'!$A$3:$A$97 &lt;= A561) * (IF('team lookup'!$B$3:$B$97 = "", 9999, 'team lookup'!$B$3:$B$97) &gt;= A561),
    'team lookup'!$E$3:$E$97,
    "Other"
)</f>
        <v>ACC</v>
      </c>
      <c r="E561">
        <f t="shared" si="16"/>
        <v>1</v>
      </c>
      <c r="F561">
        <f t="shared" si="17"/>
        <v>1</v>
      </c>
    </row>
    <row r="562" spans="1:6" x14ac:dyDescent="0.35">
      <c r="A562">
        <v>2024</v>
      </c>
      <c r="B562">
        <v>2184</v>
      </c>
      <c r="C562" t="s">
        <v>147</v>
      </c>
      <c r="D562" t="str" cm="1">
        <f t="array" ref="D562">_xlfn.XLOOKUP(1,
    ('team lookup'!$C$3:$C$97 = B562) * ('team lookup'!$A$3:$A$97 &lt;= A562) * (IF('team lookup'!$B$3:$B$97 = "", 9999, 'team lookup'!$B$3:$B$97) &gt;= A562),
    'team lookup'!$E$3:$E$97,
    "Other"
)</f>
        <v>Other</v>
      </c>
      <c r="E562">
        <f t="shared" si="16"/>
        <v>0</v>
      </c>
      <c r="F562">
        <f t="shared" si="17"/>
        <v>0</v>
      </c>
    </row>
    <row r="563" spans="1:6" x14ac:dyDescent="0.35">
      <c r="A563">
        <v>2024</v>
      </c>
      <c r="B563">
        <v>2226</v>
      </c>
      <c r="C563" t="s">
        <v>143</v>
      </c>
      <c r="D563" t="str" cm="1">
        <f t="array" ref="D563">_xlfn.XLOOKUP(1,
    ('team lookup'!$C$3:$C$97 = B563) * ('team lookup'!$A$3:$A$97 &lt;= A563) * (IF('team lookup'!$B$3:$B$97 = "", 9999, 'team lookup'!$B$3:$B$97) &gt;= A563),
    'team lookup'!$E$3:$E$97,
    "Other"
)</f>
        <v>Other</v>
      </c>
      <c r="E563">
        <f t="shared" si="16"/>
        <v>0</v>
      </c>
      <c r="F563">
        <f t="shared" si="17"/>
        <v>0</v>
      </c>
    </row>
    <row r="564" spans="1:6" x14ac:dyDescent="0.35">
      <c r="A564">
        <v>2024</v>
      </c>
      <c r="B564">
        <v>57</v>
      </c>
      <c r="C564" t="s">
        <v>58</v>
      </c>
      <c r="D564" t="str" cm="1">
        <f t="array" ref="D564">_xlfn.XLOOKUP(1,
    ('team lookup'!$C$3:$C$97 = B564) * ('team lookup'!$A$3:$A$97 &lt;= A564) * (IF('team lookup'!$B$3:$B$97 = "", 9999, 'team lookup'!$B$3:$B$97) &gt;= A564),
    'team lookup'!$E$3:$E$97,
    "Other"
)</f>
        <v>SEC</v>
      </c>
      <c r="E564">
        <f t="shared" si="16"/>
        <v>1</v>
      </c>
      <c r="F564">
        <f t="shared" si="17"/>
        <v>1</v>
      </c>
    </row>
    <row r="565" spans="1:6" x14ac:dyDescent="0.35">
      <c r="A565">
        <v>2024</v>
      </c>
      <c r="B565">
        <v>2250</v>
      </c>
      <c r="C565" t="s">
        <v>21</v>
      </c>
      <c r="D565" t="str" cm="1">
        <f t="array" ref="D565">_xlfn.XLOOKUP(1,
    ('team lookup'!$C$3:$C$97 = B565) * ('team lookup'!$A$3:$A$97 &lt;= A565) * (IF('team lookup'!$B$3:$B$97 = "", 9999, 'team lookup'!$B$3:$B$97) &gt;= A565),
    'team lookup'!$E$3:$E$97,
    "Other"
)</f>
        <v>Other</v>
      </c>
      <c r="E565">
        <f t="shared" si="16"/>
        <v>0</v>
      </c>
      <c r="F565">
        <f t="shared" si="17"/>
        <v>0</v>
      </c>
    </row>
    <row r="566" spans="1:6" x14ac:dyDescent="0.35">
      <c r="A566">
        <v>2024</v>
      </c>
      <c r="B566">
        <v>2755</v>
      </c>
      <c r="C566" t="s">
        <v>148</v>
      </c>
      <c r="D566" t="str" cm="1">
        <f t="array" ref="D566">_xlfn.XLOOKUP(1,
    ('team lookup'!$C$3:$C$97 = B566) * ('team lookup'!$A$3:$A$97 &lt;= A566) * (IF('team lookup'!$B$3:$B$97 = "", 9999, 'team lookup'!$B$3:$B$97) &gt;= A566),
    'team lookup'!$E$3:$E$97,
    "Other"
)</f>
        <v>Other</v>
      </c>
      <c r="E566">
        <f t="shared" si="16"/>
        <v>0</v>
      </c>
      <c r="F566">
        <f t="shared" si="17"/>
        <v>0</v>
      </c>
    </row>
    <row r="567" spans="1:6" x14ac:dyDescent="0.35">
      <c r="A567">
        <v>2024</v>
      </c>
      <c r="B567">
        <v>2253</v>
      </c>
      <c r="C567" t="s">
        <v>137</v>
      </c>
      <c r="D567" t="str" cm="1">
        <f t="array" ref="D567">_xlfn.XLOOKUP(1,
    ('team lookup'!$C$3:$C$97 = B567) * ('team lookup'!$A$3:$A$97 &lt;= A567) * (IF('team lookup'!$B$3:$B$97 = "", 9999, 'team lookup'!$B$3:$B$97) &gt;= A567),
    'team lookup'!$E$3:$E$97,
    "Other"
)</f>
        <v>Other</v>
      </c>
      <c r="E567">
        <f t="shared" si="16"/>
        <v>0</v>
      </c>
      <c r="F567">
        <f t="shared" si="17"/>
        <v>0</v>
      </c>
    </row>
    <row r="568" spans="1:6" x14ac:dyDescent="0.35">
      <c r="A568">
        <v>2024</v>
      </c>
      <c r="B568">
        <v>248</v>
      </c>
      <c r="C568" t="s">
        <v>60</v>
      </c>
      <c r="D568" t="str" cm="1">
        <f t="array" ref="D568">_xlfn.XLOOKUP(1,
    ('team lookup'!$C$3:$C$97 = B568) * ('team lookup'!$A$3:$A$97 &lt;= A568) * (IF('team lookup'!$B$3:$B$97 = "", 9999, 'team lookup'!$B$3:$B$97) &gt;= A568),
    'team lookup'!$E$3:$E$97,
    "Other"
)</f>
        <v>Big12</v>
      </c>
      <c r="E568">
        <f t="shared" si="16"/>
        <v>1</v>
      </c>
      <c r="F568">
        <f t="shared" si="17"/>
        <v>1</v>
      </c>
    </row>
    <row r="569" spans="1:6" x14ac:dyDescent="0.35">
      <c r="A569">
        <v>2024</v>
      </c>
      <c r="B569">
        <v>47</v>
      </c>
      <c r="C569" t="s">
        <v>145</v>
      </c>
      <c r="D569" t="str" cm="1">
        <f t="array" ref="D569">_xlfn.XLOOKUP(1,
    ('team lookup'!$C$3:$C$97 = B569) * ('team lookup'!$A$3:$A$97 &lt;= A569) * (IF('team lookup'!$B$3:$B$97 = "", 9999, 'team lookup'!$B$3:$B$97) &gt;= A569),
    'team lookup'!$E$3:$E$97,
    "Other"
)</f>
        <v>Other</v>
      </c>
      <c r="E569">
        <f t="shared" si="16"/>
        <v>0</v>
      </c>
      <c r="F569">
        <f t="shared" si="17"/>
        <v>0</v>
      </c>
    </row>
    <row r="570" spans="1:6" x14ac:dyDescent="0.35">
      <c r="A570">
        <v>2024</v>
      </c>
      <c r="B570">
        <v>356</v>
      </c>
      <c r="C570" t="s">
        <v>49</v>
      </c>
      <c r="D570" t="str" cm="1">
        <f t="array" ref="D570">_xlfn.XLOOKUP(1,
    ('team lookup'!$C$3:$C$97 = B570) * ('team lookup'!$A$3:$A$97 &lt;= A570) * (IF('team lookup'!$B$3:$B$97 = "", 9999, 'team lookup'!$B$3:$B$97) &gt;= A570),
    'team lookup'!$E$3:$E$97,
    "Other"
)</f>
        <v>Big Ten</v>
      </c>
      <c r="E570">
        <f t="shared" si="16"/>
        <v>0</v>
      </c>
      <c r="F570">
        <f t="shared" si="17"/>
        <v>1</v>
      </c>
    </row>
    <row r="571" spans="1:6" x14ac:dyDescent="0.35">
      <c r="A571">
        <v>2024</v>
      </c>
      <c r="B571">
        <v>66</v>
      </c>
      <c r="C571" t="s">
        <v>86</v>
      </c>
      <c r="D571" t="str" cm="1">
        <f t="array" ref="D571">_xlfn.XLOOKUP(1,
    ('team lookup'!$C$3:$C$97 = B571) * ('team lookup'!$A$3:$A$97 &lt;= A571) * (IF('team lookup'!$B$3:$B$97 = "", 9999, 'team lookup'!$B$3:$B$97) &gt;= A571),
    'team lookup'!$E$3:$E$97,
    "Other"
)</f>
        <v>Big12</v>
      </c>
      <c r="E571">
        <f t="shared" si="16"/>
        <v>1</v>
      </c>
      <c r="F571">
        <f t="shared" si="17"/>
        <v>1</v>
      </c>
    </row>
    <row r="572" spans="1:6" x14ac:dyDescent="0.35">
      <c r="A572">
        <v>2024</v>
      </c>
      <c r="B572">
        <v>256</v>
      </c>
      <c r="C572" t="s">
        <v>93</v>
      </c>
      <c r="D572" t="str" cm="1">
        <f t="array" ref="D572">_xlfn.XLOOKUP(1,
    ('team lookup'!$C$3:$C$97 = B572) * ('team lookup'!$A$3:$A$97 &lt;= A572) * (IF('team lookup'!$B$3:$B$97 = "", 9999, 'team lookup'!$B$3:$B$97) &gt;= A572),
    'team lookup'!$E$3:$E$97,
    "Other"
)</f>
        <v>Other</v>
      </c>
      <c r="E572">
        <f t="shared" si="16"/>
        <v>0</v>
      </c>
      <c r="F572">
        <f t="shared" si="17"/>
        <v>0</v>
      </c>
    </row>
    <row r="573" spans="1:6" x14ac:dyDescent="0.35">
      <c r="A573">
        <v>2024</v>
      </c>
      <c r="B573">
        <v>2305</v>
      </c>
      <c r="C573" t="s">
        <v>23</v>
      </c>
      <c r="D573" t="str" cm="1">
        <f t="array" ref="D573">_xlfn.XLOOKUP(1,
    ('team lookup'!$C$3:$C$97 = B573) * ('team lookup'!$A$3:$A$97 &lt;= A573) * (IF('team lookup'!$B$3:$B$97 = "", 9999, 'team lookup'!$B$3:$B$97) &gt;= A573),
    'team lookup'!$E$3:$E$97,
    "Other"
)</f>
        <v>Big12</v>
      </c>
      <c r="E573">
        <f t="shared" si="16"/>
        <v>1</v>
      </c>
      <c r="F573">
        <f t="shared" si="17"/>
        <v>1</v>
      </c>
    </row>
    <row r="574" spans="1:6" x14ac:dyDescent="0.35">
      <c r="A574">
        <v>2024</v>
      </c>
      <c r="B574">
        <v>96</v>
      </c>
      <c r="C574" t="s">
        <v>26</v>
      </c>
      <c r="D574" t="str" cm="1">
        <f t="array" ref="D574">_xlfn.XLOOKUP(1,
    ('team lookup'!$C$3:$C$97 = B574) * ('team lookup'!$A$3:$A$97 &lt;= A574) * (IF('team lookup'!$B$3:$B$97 = "", 9999, 'team lookup'!$B$3:$B$97) &gt;= A574),
    'team lookup'!$E$3:$E$97,
    "Other"
)</f>
        <v>SEC</v>
      </c>
      <c r="E574">
        <f t="shared" si="16"/>
        <v>1</v>
      </c>
      <c r="F574">
        <f t="shared" si="17"/>
        <v>1</v>
      </c>
    </row>
    <row r="575" spans="1:6" x14ac:dyDescent="0.35">
      <c r="A575">
        <v>2024</v>
      </c>
      <c r="B575">
        <v>299</v>
      </c>
      <c r="C575" t="s">
        <v>88</v>
      </c>
      <c r="D575" t="str" cm="1">
        <f t="array" ref="D575">_xlfn.XLOOKUP(1,
    ('team lookup'!$C$3:$C$97 = B575) * ('team lookup'!$A$3:$A$97 &lt;= A575) * (IF('team lookup'!$B$3:$B$97 = "", 9999, 'team lookup'!$B$3:$B$97) &gt;= A575),
    'team lookup'!$E$3:$E$97,
    "Other"
)</f>
        <v>Other</v>
      </c>
      <c r="E575">
        <f t="shared" si="16"/>
        <v>0</v>
      </c>
      <c r="F575">
        <f t="shared" si="17"/>
        <v>0</v>
      </c>
    </row>
    <row r="576" spans="1:6" x14ac:dyDescent="0.35">
      <c r="A576">
        <v>2024</v>
      </c>
      <c r="B576">
        <v>2344</v>
      </c>
      <c r="C576" t="s">
        <v>141</v>
      </c>
      <c r="D576" t="str" cm="1">
        <f t="array" ref="D576">_xlfn.XLOOKUP(1,
    ('team lookup'!$C$3:$C$97 = B576) * ('team lookup'!$A$3:$A$97 &lt;= A576) * (IF('team lookup'!$B$3:$B$97 = "", 9999, 'team lookup'!$B$3:$B$97) &gt;= A576),
    'team lookup'!$E$3:$E$97,
    "Other"
)</f>
        <v>Other</v>
      </c>
      <c r="E576">
        <f t="shared" si="16"/>
        <v>0</v>
      </c>
      <c r="F576">
        <f t="shared" si="17"/>
        <v>0</v>
      </c>
    </row>
    <row r="577" spans="1:6" x14ac:dyDescent="0.35">
      <c r="A577">
        <v>2024</v>
      </c>
      <c r="B577">
        <v>269</v>
      </c>
      <c r="C577" t="s">
        <v>28</v>
      </c>
      <c r="D577" t="str" cm="1">
        <f t="array" ref="D577">_xlfn.XLOOKUP(1,
    ('team lookup'!$C$3:$C$97 = B577) * ('team lookup'!$A$3:$A$97 &lt;= A577) * (IF('team lookup'!$B$3:$B$97 = "", 9999, 'team lookup'!$B$3:$B$97) &gt;= A577),
    'team lookup'!$E$3:$E$97,
    "Other"
)</f>
        <v>Big East</v>
      </c>
      <c r="E577">
        <f t="shared" si="16"/>
        <v>0</v>
      </c>
      <c r="F577">
        <f t="shared" si="17"/>
        <v>1</v>
      </c>
    </row>
    <row r="578" spans="1:6" x14ac:dyDescent="0.35">
      <c r="A578">
        <v>2024</v>
      </c>
      <c r="B578">
        <v>2377</v>
      </c>
      <c r="C578" t="s">
        <v>149</v>
      </c>
      <c r="D578" t="str" cm="1">
        <f t="array" ref="D578">_xlfn.XLOOKUP(1,
    ('team lookup'!$C$3:$C$97 = B578) * ('team lookup'!$A$3:$A$97 &lt;= A578) * (IF('team lookup'!$B$3:$B$97 = "", 9999, 'team lookup'!$B$3:$B$97) &gt;= A578),
    'team lookup'!$E$3:$E$97,
    "Other"
)</f>
        <v>Other</v>
      </c>
      <c r="E578">
        <f t="shared" si="16"/>
        <v>0</v>
      </c>
      <c r="F578">
        <f t="shared" si="17"/>
        <v>0</v>
      </c>
    </row>
    <row r="579" spans="1:6" x14ac:dyDescent="0.35">
      <c r="A579">
        <v>2024</v>
      </c>
      <c r="B579">
        <v>127</v>
      </c>
      <c r="C579" t="s">
        <v>31</v>
      </c>
      <c r="D579" t="str" cm="1">
        <f t="array" ref="D579">_xlfn.XLOOKUP(1,
    ('team lookup'!$C$3:$C$97 = B579) * ('team lookup'!$A$3:$A$97 &lt;= A579) * (IF('team lookup'!$B$3:$B$97 = "", 9999, 'team lookup'!$B$3:$B$97) &gt;= A579),
    'team lookup'!$E$3:$E$97,
    "Other"
)</f>
        <v>Big Ten</v>
      </c>
      <c r="E579">
        <f t="shared" ref="E579:E642" si="18">IF(OR(D579="ACC", D579="SEC", D579="Big12"), 1,0)</f>
        <v>0</v>
      </c>
      <c r="F579">
        <f t="shared" ref="F579:F642" si="19">IF(D579&lt;&gt;"Other", 1,0)</f>
        <v>1</v>
      </c>
    </row>
    <row r="580" spans="1:6" x14ac:dyDescent="0.35">
      <c r="A580">
        <v>2024</v>
      </c>
      <c r="B580">
        <v>344</v>
      </c>
      <c r="C580" t="s">
        <v>33</v>
      </c>
      <c r="D580" t="str" cm="1">
        <f t="array" ref="D580">_xlfn.XLOOKUP(1,
    ('team lookup'!$C$3:$C$97 = B580) * ('team lookup'!$A$3:$A$97 &lt;= A580) * (IF('team lookup'!$B$3:$B$97 = "", 9999, 'team lookup'!$B$3:$B$97) &gt;= A580),
    'team lookup'!$E$3:$E$97,
    "Other"
)</f>
        <v>SEC</v>
      </c>
      <c r="E580">
        <f t="shared" si="18"/>
        <v>1</v>
      </c>
      <c r="F580">
        <f t="shared" si="19"/>
        <v>1</v>
      </c>
    </row>
    <row r="581" spans="1:6" x14ac:dyDescent="0.35">
      <c r="A581">
        <v>2024</v>
      </c>
      <c r="B581">
        <v>147</v>
      </c>
      <c r="C581" t="s">
        <v>142</v>
      </c>
      <c r="D581" t="str" cm="1">
        <f t="array" ref="D581">_xlfn.XLOOKUP(1,
    ('team lookup'!$C$3:$C$97 = B581) * ('team lookup'!$A$3:$A$97 &lt;= A581) * (IF('team lookup'!$B$3:$B$97 = "", 9999, 'team lookup'!$B$3:$B$97) &gt;= A581),
    'team lookup'!$E$3:$E$97,
    "Other"
)</f>
        <v>Other</v>
      </c>
      <c r="E581">
        <f t="shared" si="18"/>
        <v>0</v>
      </c>
      <c r="F581">
        <f t="shared" si="19"/>
        <v>0</v>
      </c>
    </row>
    <row r="582" spans="1:6" x14ac:dyDescent="0.35">
      <c r="A582">
        <v>2024</v>
      </c>
      <c r="B582">
        <v>2413</v>
      </c>
      <c r="C582" t="s">
        <v>55</v>
      </c>
      <c r="D582" t="str" cm="1">
        <f t="array" ref="D582">_xlfn.XLOOKUP(1,
    ('team lookup'!$C$3:$C$97 = B582) * ('team lookup'!$A$3:$A$97 &lt;= A582) * (IF('team lookup'!$B$3:$B$97 = "", 9999, 'team lookup'!$B$3:$B$97) &gt;= A582),
    'team lookup'!$E$3:$E$97,
    "Other"
)</f>
        <v>Other</v>
      </c>
      <c r="E582">
        <f t="shared" si="18"/>
        <v>0</v>
      </c>
      <c r="F582">
        <f t="shared" si="19"/>
        <v>0</v>
      </c>
    </row>
    <row r="583" spans="1:6" x14ac:dyDescent="0.35">
      <c r="A583">
        <v>2025</v>
      </c>
      <c r="B583">
        <v>2006</v>
      </c>
      <c r="C583" t="s">
        <v>37</v>
      </c>
      <c r="D583" t="str" cm="1">
        <f t="array" ref="D583">_xlfn.XLOOKUP(1,
    ('team lookup'!$C$3:$C$97 = B583) * ('team lookup'!$A$3:$A$97 &lt;= A583) * (IF('team lookup'!$B$3:$B$97 = "", 9999, 'team lookup'!$B$3:$B$97) &gt;= A583),
    'team lookup'!$E$3:$E$97,
    "Other"
)</f>
        <v>Other</v>
      </c>
      <c r="E583">
        <f t="shared" si="18"/>
        <v>0</v>
      </c>
      <c r="F583">
        <f t="shared" si="19"/>
        <v>0</v>
      </c>
    </row>
    <row r="584" spans="1:6" x14ac:dyDescent="0.35">
      <c r="A584">
        <v>2025</v>
      </c>
      <c r="B584">
        <v>333</v>
      </c>
      <c r="C584" t="s">
        <v>79</v>
      </c>
      <c r="D584" t="str" cm="1">
        <f t="array" ref="D584">_xlfn.XLOOKUP(1,
    ('team lookup'!$C$3:$C$97 = B584) * ('team lookup'!$A$3:$A$97 &lt;= A584) * (IF('team lookup'!$B$3:$B$97 = "", 9999, 'team lookup'!$B$3:$B$97) &gt;= A584),
    'team lookup'!$E$3:$E$97,
    "Other"
)</f>
        <v>SEC</v>
      </c>
      <c r="E584">
        <f t="shared" si="18"/>
        <v>1</v>
      </c>
      <c r="F584">
        <f t="shared" si="19"/>
        <v>1</v>
      </c>
    </row>
    <row r="585" spans="1:6" x14ac:dyDescent="0.35">
      <c r="A585">
        <v>2025</v>
      </c>
      <c r="B585">
        <v>2011</v>
      </c>
      <c r="C585" t="s">
        <v>38</v>
      </c>
      <c r="D585" t="str" cm="1">
        <f t="array" ref="D585">_xlfn.XLOOKUP(1,
    ('team lookup'!$C$3:$C$97 = B585) * ('team lookup'!$A$3:$A$97 &lt;= A585) * (IF('team lookup'!$B$3:$B$97 = "", 9999, 'team lookup'!$B$3:$B$97) &gt;= A585),
    'team lookup'!$E$3:$E$97,
    "Other"
)</f>
        <v>Other</v>
      </c>
      <c r="E585">
        <f t="shared" si="18"/>
        <v>0</v>
      </c>
      <c r="F585">
        <f t="shared" si="19"/>
        <v>0</v>
      </c>
    </row>
    <row r="586" spans="1:6" x14ac:dyDescent="0.35">
      <c r="A586">
        <v>2025</v>
      </c>
      <c r="B586">
        <v>44</v>
      </c>
      <c r="C586" t="s">
        <v>3</v>
      </c>
      <c r="D586" t="str" cm="1">
        <f t="array" ref="D586">_xlfn.XLOOKUP(1,
    ('team lookup'!$C$3:$C$97 = B586) * ('team lookup'!$A$3:$A$97 &lt;= A586) * (IF('team lookup'!$B$3:$B$97 = "", 9999, 'team lookup'!$B$3:$B$97) &gt;= A586),
    'team lookup'!$E$3:$E$97,
    "Other"
)</f>
        <v>Other</v>
      </c>
      <c r="E586">
        <f t="shared" si="18"/>
        <v>0</v>
      </c>
      <c r="F586">
        <f t="shared" si="19"/>
        <v>0</v>
      </c>
    </row>
    <row r="587" spans="1:6" x14ac:dyDescent="0.35">
      <c r="A587">
        <v>2025</v>
      </c>
      <c r="B587">
        <v>12</v>
      </c>
      <c r="C587" t="s">
        <v>4</v>
      </c>
      <c r="D587" t="str" cm="1">
        <f t="array" ref="D587">_xlfn.XLOOKUP(1,
    ('team lookup'!$C$3:$C$97 = B587) * ('team lookup'!$A$3:$A$97 &lt;= A587) * (IF('team lookup'!$B$3:$B$97 = "", 9999, 'team lookup'!$B$3:$B$97) &gt;= A587),
    'team lookup'!$E$3:$E$97,
    "Other"
)</f>
        <v>Big12</v>
      </c>
      <c r="E587">
        <f t="shared" si="18"/>
        <v>1</v>
      </c>
      <c r="F587">
        <f t="shared" si="19"/>
        <v>1</v>
      </c>
    </row>
    <row r="588" spans="1:6" x14ac:dyDescent="0.35">
      <c r="A588">
        <v>2025</v>
      </c>
      <c r="B588">
        <v>8</v>
      </c>
      <c r="C588" t="s">
        <v>5</v>
      </c>
      <c r="D588" t="str" cm="1">
        <f t="array" ref="D588">_xlfn.XLOOKUP(1,
    ('team lookup'!$C$3:$C$97 = B588) * ('team lookup'!$A$3:$A$97 &lt;= A588) * (IF('team lookup'!$B$3:$B$97 = "", 9999, 'team lookup'!$B$3:$B$97) &gt;= A588),
    'team lookup'!$E$3:$E$97,
    "Other"
)</f>
        <v>SEC</v>
      </c>
      <c r="E588">
        <f t="shared" si="18"/>
        <v>1</v>
      </c>
      <c r="F588">
        <f t="shared" si="19"/>
        <v>1</v>
      </c>
    </row>
    <row r="589" spans="1:6" x14ac:dyDescent="0.35">
      <c r="A589">
        <v>2025</v>
      </c>
      <c r="B589">
        <v>2</v>
      </c>
      <c r="C589" t="s">
        <v>126</v>
      </c>
      <c r="D589" t="str" cm="1">
        <f t="array" ref="D589">_xlfn.XLOOKUP(1,
    ('team lookup'!$C$3:$C$97 = B589) * ('team lookup'!$A$3:$A$97 &lt;= A589) * (IF('team lookup'!$B$3:$B$97 = "", 9999, 'team lookup'!$B$3:$B$97) &gt;= A589),
    'team lookup'!$E$3:$E$97,
    "Other"
)</f>
        <v>SEC</v>
      </c>
      <c r="E589">
        <f t="shared" si="18"/>
        <v>1</v>
      </c>
      <c r="F589">
        <f t="shared" si="19"/>
        <v>1</v>
      </c>
    </row>
    <row r="590" spans="1:6" x14ac:dyDescent="0.35">
      <c r="A590">
        <v>2025</v>
      </c>
      <c r="B590">
        <v>239</v>
      </c>
      <c r="C590" t="s">
        <v>7</v>
      </c>
      <c r="D590" t="str" cm="1">
        <f t="array" ref="D590">_xlfn.XLOOKUP(1,
    ('team lookup'!$C$3:$C$97 = B590) * ('team lookup'!$A$3:$A$97 &lt;= A590) * (IF('team lookup'!$B$3:$B$97 = "", 9999, 'team lookup'!$B$3:$B$97) &gt;= A590),
    'team lookup'!$E$3:$E$97,
    "Other"
)</f>
        <v>Big12</v>
      </c>
      <c r="E590">
        <f t="shared" si="18"/>
        <v>1</v>
      </c>
      <c r="F590">
        <f t="shared" si="19"/>
        <v>1</v>
      </c>
    </row>
    <row r="591" spans="1:6" x14ac:dyDescent="0.35">
      <c r="A591">
        <v>2025</v>
      </c>
      <c r="B591">
        <v>2803</v>
      </c>
      <c r="C591" t="s">
        <v>140</v>
      </c>
      <c r="D591" t="str" cm="1">
        <f t="array" ref="D591">_xlfn.XLOOKUP(1,
    ('team lookup'!$C$3:$C$97 = B591) * ('team lookup'!$A$3:$A$97 &lt;= A591) * (IF('team lookup'!$B$3:$B$97 = "", 9999, 'team lookup'!$B$3:$B$97) &gt;= A591),
    'team lookup'!$E$3:$E$97,
    "Other"
)</f>
        <v>Other</v>
      </c>
      <c r="E591">
        <f t="shared" si="18"/>
        <v>0</v>
      </c>
      <c r="F591">
        <f t="shared" si="19"/>
        <v>0</v>
      </c>
    </row>
    <row r="592" spans="1:6" x14ac:dyDescent="0.35">
      <c r="A592">
        <v>2025</v>
      </c>
      <c r="B592">
        <v>252</v>
      </c>
      <c r="C592" t="s">
        <v>11</v>
      </c>
      <c r="D592" t="str" cm="1">
        <f t="array" ref="D592">_xlfn.XLOOKUP(1,
    ('team lookup'!$C$3:$C$97 = B592) * ('team lookup'!$A$3:$A$97 &lt;= A592) * (IF('team lookup'!$B$3:$B$97 = "", 9999, 'team lookup'!$B$3:$B$97) &gt;= A592),
    'team lookup'!$E$3:$E$97,
    "Other"
)</f>
        <v>Big12</v>
      </c>
      <c r="E592">
        <f t="shared" si="18"/>
        <v>1</v>
      </c>
      <c r="F592">
        <f t="shared" si="19"/>
        <v>1</v>
      </c>
    </row>
    <row r="593" spans="1:6" x14ac:dyDescent="0.35">
      <c r="A593">
        <v>2025</v>
      </c>
      <c r="B593">
        <v>228</v>
      </c>
      <c r="C593" t="s">
        <v>12</v>
      </c>
      <c r="D593" t="str" cm="1">
        <f t="array" ref="D593">_xlfn.XLOOKUP(1,
    ('team lookup'!$C$3:$C$97 = B593) * ('team lookup'!$A$3:$A$97 &lt;= A593) * (IF('team lookup'!$B$3:$B$97 = "", 9999, 'team lookup'!$B$3:$B$97) &gt;= A593),
    'team lookup'!$E$3:$E$97,
    "Other"
)</f>
        <v>ACC</v>
      </c>
      <c r="E593">
        <f t="shared" si="18"/>
        <v>1</v>
      </c>
      <c r="F593">
        <f t="shared" si="19"/>
        <v>1</v>
      </c>
    </row>
    <row r="594" spans="1:6" x14ac:dyDescent="0.35">
      <c r="A594">
        <v>2025</v>
      </c>
      <c r="B594">
        <v>36</v>
      </c>
      <c r="C594" t="s">
        <v>81</v>
      </c>
      <c r="D594" t="str" cm="1">
        <f t="array" ref="D594">_xlfn.XLOOKUP(1,
    ('team lookup'!$C$3:$C$97 = B594) * ('team lookup'!$A$3:$A$97 &lt;= A594) * (IF('team lookup'!$B$3:$B$97 = "", 9999, 'team lookup'!$B$3:$B$97) &gt;= A594),
    'team lookup'!$E$3:$E$97,
    "Other"
)</f>
        <v>Other</v>
      </c>
      <c r="E594">
        <f t="shared" si="18"/>
        <v>0</v>
      </c>
      <c r="F594">
        <f t="shared" si="19"/>
        <v>0</v>
      </c>
    </row>
    <row r="595" spans="1:6" x14ac:dyDescent="0.35">
      <c r="A595">
        <v>2025</v>
      </c>
      <c r="B595">
        <v>156</v>
      </c>
      <c r="C595" t="s">
        <v>82</v>
      </c>
      <c r="D595" t="str" cm="1">
        <f t="array" ref="D595">_xlfn.XLOOKUP(1,
    ('team lookup'!$C$3:$C$97 = B595) * ('team lookup'!$A$3:$A$97 &lt;= A595) * (IF('team lookup'!$B$3:$B$97 = "", 9999, 'team lookup'!$B$3:$B$97) &gt;= A595),
    'team lookup'!$E$3:$E$97,
    "Other"
)</f>
        <v>Big East</v>
      </c>
      <c r="E595">
        <f t="shared" si="18"/>
        <v>0</v>
      </c>
      <c r="F595">
        <f t="shared" si="19"/>
        <v>1</v>
      </c>
    </row>
    <row r="596" spans="1:6" x14ac:dyDescent="0.35">
      <c r="A596">
        <v>2025</v>
      </c>
      <c r="B596">
        <v>2181</v>
      </c>
      <c r="C596" t="s">
        <v>15</v>
      </c>
      <c r="D596" t="str" cm="1">
        <f t="array" ref="D596">_xlfn.XLOOKUP(1,
    ('team lookup'!$C$3:$C$97 = B596) * ('team lookup'!$A$3:$A$97 &lt;= A596) * (IF('team lookup'!$B$3:$B$97 = "", 9999, 'team lookup'!$B$3:$B$97) &gt;= A596),
    'team lookup'!$E$3:$E$97,
    "Other"
)</f>
        <v>Other</v>
      </c>
      <c r="E596">
        <f t="shared" si="18"/>
        <v>0</v>
      </c>
      <c r="F596">
        <f t="shared" si="19"/>
        <v>0</v>
      </c>
    </row>
    <row r="597" spans="1:6" x14ac:dyDescent="0.35">
      <c r="A597">
        <v>2025</v>
      </c>
      <c r="B597">
        <v>150</v>
      </c>
      <c r="C597" t="s">
        <v>16</v>
      </c>
      <c r="D597" t="str" cm="1">
        <f t="array" ref="D597">_xlfn.XLOOKUP(1,
    ('team lookup'!$C$3:$C$97 = B597) * ('team lookup'!$A$3:$A$97 &lt;= A597) * (IF('team lookup'!$B$3:$B$97 = "", 9999, 'team lookup'!$B$3:$B$97) &gt;= A597),
    'team lookup'!$E$3:$E$97,
    "Other"
)</f>
        <v>ACC</v>
      </c>
      <c r="E597">
        <f t="shared" si="18"/>
        <v>1</v>
      </c>
      <c r="F597">
        <f t="shared" si="19"/>
        <v>1</v>
      </c>
    </row>
    <row r="598" spans="1:6" x14ac:dyDescent="0.35">
      <c r="A598">
        <v>2025</v>
      </c>
      <c r="B598">
        <v>57</v>
      </c>
      <c r="C598" t="s">
        <v>58</v>
      </c>
      <c r="D598" t="str" cm="1">
        <f t="array" ref="D598">_xlfn.XLOOKUP(1,
    ('team lookup'!$C$3:$C$97 = B598) * ('team lookup'!$A$3:$A$97 &lt;= A598) * (IF('team lookup'!$B$3:$B$97 = "", 9999, 'team lookup'!$B$3:$B$97) &gt;= A598),
    'team lookup'!$E$3:$E$97,
    "Other"
)</f>
        <v>SEC</v>
      </c>
      <c r="E598">
        <f t="shared" si="18"/>
        <v>1</v>
      </c>
      <c r="F598">
        <f t="shared" si="19"/>
        <v>1</v>
      </c>
    </row>
    <row r="599" spans="1:6" x14ac:dyDescent="0.35">
      <c r="A599">
        <v>2025</v>
      </c>
      <c r="B599">
        <v>61</v>
      </c>
      <c r="C599" t="s">
        <v>20</v>
      </c>
      <c r="D599" t="str" cm="1">
        <f t="array" ref="D599">_xlfn.XLOOKUP(1,
    ('team lookup'!$C$3:$C$97 = B599) * ('team lookup'!$A$3:$A$97 &lt;= A599) * (IF('team lookup'!$B$3:$B$97 = "", 9999, 'team lookup'!$B$3:$B$97) &gt;= A599),
    'team lookup'!$E$3:$E$97,
    "Other"
)</f>
        <v>SEC</v>
      </c>
      <c r="E599">
        <f t="shared" si="18"/>
        <v>1</v>
      </c>
      <c r="F599">
        <f t="shared" si="19"/>
        <v>1</v>
      </c>
    </row>
    <row r="600" spans="1:6" x14ac:dyDescent="0.35">
      <c r="A600">
        <v>2025</v>
      </c>
      <c r="B600">
        <v>2250</v>
      </c>
      <c r="C600" t="s">
        <v>21</v>
      </c>
      <c r="D600" t="str" cm="1">
        <f t="array" ref="D600">_xlfn.XLOOKUP(1,
    ('team lookup'!$C$3:$C$97 = B600) * ('team lookup'!$A$3:$A$97 &lt;= A600) * (IF('team lookup'!$B$3:$B$97 = "", 9999, 'team lookup'!$B$3:$B$97) &gt;= A600),
    'team lookup'!$E$3:$E$97,
    "Other"
)</f>
        <v>Other</v>
      </c>
      <c r="E600">
        <f t="shared" si="18"/>
        <v>0</v>
      </c>
      <c r="F600">
        <f t="shared" si="19"/>
        <v>0</v>
      </c>
    </row>
    <row r="601" spans="1:6" x14ac:dyDescent="0.35">
      <c r="A601">
        <v>2025</v>
      </c>
      <c r="B601">
        <v>2253</v>
      </c>
      <c r="C601" t="s">
        <v>137</v>
      </c>
      <c r="D601" t="str" cm="1">
        <f t="array" ref="D601">_xlfn.XLOOKUP(1,
    ('team lookup'!$C$3:$C$97 = B601) * ('team lookup'!$A$3:$A$97 &lt;= A601) * (IF('team lookup'!$B$3:$B$97 = "", 9999, 'team lookup'!$B$3:$B$97) &gt;= A601),
    'team lookup'!$E$3:$E$97,
    "Other"
)</f>
        <v>Other</v>
      </c>
      <c r="E601">
        <f t="shared" si="18"/>
        <v>0</v>
      </c>
      <c r="F601">
        <f t="shared" si="19"/>
        <v>0</v>
      </c>
    </row>
    <row r="602" spans="1:6" x14ac:dyDescent="0.35">
      <c r="A602">
        <v>2025</v>
      </c>
      <c r="B602">
        <v>2272</v>
      </c>
      <c r="C602" t="s">
        <v>150</v>
      </c>
      <c r="D602" t="str" cm="1">
        <f t="array" ref="D602">_xlfn.XLOOKUP(1,
    ('team lookup'!$C$3:$C$97 = B602) * ('team lookup'!$A$3:$A$97 &lt;= A602) * (IF('team lookup'!$B$3:$B$97 = "", 9999, 'team lookup'!$B$3:$B$97) &gt;= A602),
    'team lookup'!$E$3:$E$97,
    "Other"
)</f>
        <v>Other</v>
      </c>
      <c r="E602">
        <f t="shared" si="18"/>
        <v>0</v>
      </c>
      <c r="F602">
        <f t="shared" si="19"/>
        <v>0</v>
      </c>
    </row>
    <row r="603" spans="1:6" x14ac:dyDescent="0.35">
      <c r="A603">
        <v>2025</v>
      </c>
      <c r="B603">
        <v>248</v>
      </c>
      <c r="C603" t="s">
        <v>60</v>
      </c>
      <c r="D603" t="str" cm="1">
        <f t="array" ref="D603">_xlfn.XLOOKUP(1,
    ('team lookup'!$C$3:$C$97 = B603) * ('team lookup'!$A$3:$A$97 &lt;= A603) * (IF('team lookup'!$B$3:$B$97 = "", 9999, 'team lookup'!$B$3:$B$97) &gt;= A603),
    'team lookup'!$E$3:$E$97,
    "Other"
)</f>
        <v>Big12</v>
      </c>
      <c r="E603">
        <f t="shared" si="18"/>
        <v>1</v>
      </c>
      <c r="F603">
        <f t="shared" si="19"/>
        <v>1</v>
      </c>
    </row>
    <row r="604" spans="1:6" x14ac:dyDescent="0.35">
      <c r="A604">
        <v>2025</v>
      </c>
      <c r="B604">
        <v>356</v>
      </c>
      <c r="C604" t="s">
        <v>49</v>
      </c>
      <c r="D604" t="str" cm="1">
        <f t="array" ref="D604">_xlfn.XLOOKUP(1,
    ('team lookup'!$C$3:$C$97 = B604) * ('team lookup'!$A$3:$A$97 &lt;= A604) * (IF('team lookup'!$B$3:$B$97 = "", 9999, 'team lookup'!$B$3:$B$97) &gt;= A604),
    'team lookup'!$E$3:$E$97,
    "Other"
)</f>
        <v>Big Ten</v>
      </c>
      <c r="E604">
        <f t="shared" si="18"/>
        <v>0</v>
      </c>
      <c r="F604">
        <f t="shared" si="19"/>
        <v>1</v>
      </c>
    </row>
    <row r="605" spans="1:6" x14ac:dyDescent="0.35">
      <c r="A605">
        <v>2025</v>
      </c>
      <c r="B605">
        <v>66</v>
      </c>
      <c r="C605" t="s">
        <v>86</v>
      </c>
      <c r="D605" t="str" cm="1">
        <f t="array" ref="D605">_xlfn.XLOOKUP(1,
    ('team lookup'!$C$3:$C$97 = B605) * ('team lookup'!$A$3:$A$97 &lt;= A605) * (IF('team lookup'!$B$3:$B$97 = "", 9999, 'team lookup'!$B$3:$B$97) &gt;= A605),
    'team lookup'!$E$3:$E$97,
    "Other"
)</f>
        <v>Big12</v>
      </c>
      <c r="E605">
        <f t="shared" si="18"/>
        <v>1</v>
      </c>
      <c r="F605">
        <f t="shared" si="19"/>
        <v>1</v>
      </c>
    </row>
    <row r="606" spans="1:6" x14ac:dyDescent="0.35">
      <c r="A606">
        <v>2025</v>
      </c>
      <c r="B606">
        <v>2305</v>
      </c>
      <c r="C606" t="s">
        <v>23</v>
      </c>
      <c r="D606" t="str" cm="1">
        <f t="array" ref="D606">_xlfn.XLOOKUP(1,
    ('team lookup'!$C$3:$C$97 = B606) * ('team lookup'!$A$3:$A$97 &lt;= A606) * (IF('team lookup'!$B$3:$B$97 = "", 9999, 'team lookup'!$B$3:$B$97) &gt;= A606),
    'team lookup'!$E$3:$E$97,
    "Other"
)</f>
        <v>Big12</v>
      </c>
      <c r="E606">
        <f t="shared" si="18"/>
        <v>1</v>
      </c>
      <c r="F606">
        <f t="shared" si="19"/>
        <v>1</v>
      </c>
    </row>
    <row r="607" spans="1:6" x14ac:dyDescent="0.35">
      <c r="A607">
        <v>2025</v>
      </c>
      <c r="B607">
        <v>96</v>
      </c>
      <c r="C607" t="s">
        <v>26</v>
      </c>
      <c r="D607" t="str" cm="1">
        <f t="array" ref="D607">_xlfn.XLOOKUP(1,
    ('team lookup'!$C$3:$C$97 = B607) * ('team lookup'!$A$3:$A$97 &lt;= A607) * (IF('team lookup'!$B$3:$B$97 = "", 9999, 'team lookup'!$B$3:$B$97) &gt;= A607),
    'team lookup'!$E$3:$E$97,
    "Other"
)</f>
        <v>SEC</v>
      </c>
      <c r="E607">
        <f t="shared" si="18"/>
        <v>1</v>
      </c>
      <c r="F607">
        <f t="shared" si="19"/>
        <v>1</v>
      </c>
    </row>
    <row r="608" spans="1:6" x14ac:dyDescent="0.35">
      <c r="A608">
        <v>2025</v>
      </c>
      <c r="B608">
        <v>2335</v>
      </c>
      <c r="C608" t="s">
        <v>95</v>
      </c>
      <c r="D608" t="str" cm="1">
        <f t="array" ref="D608">_xlfn.XLOOKUP(1,
    ('team lookup'!$C$3:$C$97 = B608) * ('team lookup'!$A$3:$A$97 &lt;= A608) * (IF('team lookup'!$B$3:$B$97 = "", 9999, 'team lookup'!$B$3:$B$97) &gt;= A608),
    'team lookup'!$E$3:$E$97,
    "Other"
)</f>
        <v>Other</v>
      </c>
      <c r="E608">
        <f t="shared" si="18"/>
        <v>0</v>
      </c>
      <c r="F608">
        <f t="shared" si="19"/>
        <v>0</v>
      </c>
    </row>
    <row r="609" spans="1:6" x14ac:dyDescent="0.35">
      <c r="A609">
        <v>2025</v>
      </c>
      <c r="B609">
        <v>288</v>
      </c>
      <c r="C609" t="s">
        <v>128</v>
      </c>
      <c r="D609" t="str" cm="1">
        <f t="array" ref="D609">_xlfn.XLOOKUP(1,
    ('team lookup'!$C$3:$C$97 = B609) * ('team lookup'!$A$3:$A$97 &lt;= A609) * (IF('team lookup'!$B$3:$B$97 = "", 9999, 'team lookup'!$B$3:$B$97) &gt;= A609),
    'team lookup'!$E$3:$E$97,
    "Other"
)</f>
        <v>Other</v>
      </c>
      <c r="E609">
        <f t="shared" si="18"/>
        <v>0</v>
      </c>
      <c r="F609">
        <f t="shared" si="19"/>
        <v>0</v>
      </c>
    </row>
    <row r="610" spans="1:6" x14ac:dyDescent="0.35">
      <c r="A610">
        <v>2025</v>
      </c>
      <c r="B610">
        <v>97</v>
      </c>
      <c r="C610" t="s">
        <v>27</v>
      </c>
      <c r="D610" t="str" cm="1">
        <f t="array" ref="D610">_xlfn.XLOOKUP(1,
    ('team lookup'!$C$3:$C$97 = B610) * ('team lookup'!$A$3:$A$97 &lt;= A610) * (IF('team lookup'!$B$3:$B$97 = "", 9999, 'team lookup'!$B$3:$B$97) &gt;= A610),
    'team lookup'!$E$3:$E$97,
    "Other"
)</f>
        <v>ACC</v>
      </c>
      <c r="E610">
        <f t="shared" si="18"/>
        <v>1</v>
      </c>
      <c r="F610">
        <f t="shared" si="19"/>
        <v>1</v>
      </c>
    </row>
    <row r="611" spans="1:6" x14ac:dyDescent="0.35">
      <c r="A611">
        <v>2025</v>
      </c>
      <c r="B611">
        <v>269</v>
      </c>
      <c r="C611" t="s">
        <v>28</v>
      </c>
      <c r="D611" t="str" cm="1">
        <f t="array" ref="D611">_xlfn.XLOOKUP(1,
    ('team lookup'!$C$3:$C$97 = B611) * ('team lookup'!$A$3:$A$97 &lt;= A611) * (IF('team lookup'!$B$3:$B$97 = "", 9999, 'team lookup'!$B$3:$B$97) &gt;= A611),
    'team lookup'!$E$3:$E$97,
    "Other"
)</f>
        <v>Big East</v>
      </c>
      <c r="E611">
        <f t="shared" si="18"/>
        <v>0</v>
      </c>
      <c r="F611">
        <f t="shared" si="19"/>
        <v>1</v>
      </c>
    </row>
    <row r="612" spans="1:6" x14ac:dyDescent="0.35">
      <c r="A612">
        <v>2025</v>
      </c>
      <c r="B612">
        <v>120</v>
      </c>
      <c r="C612" t="s">
        <v>51</v>
      </c>
      <c r="D612" t="str" cm="1">
        <f t="array" ref="D612">_xlfn.XLOOKUP(1,
    ('team lookup'!$C$3:$C$97 = B612) * ('team lookup'!$A$3:$A$97 &lt;= A612) * (IF('team lookup'!$B$3:$B$97 = "", 9999, 'team lookup'!$B$3:$B$97) &gt;= A612),
    'team lookup'!$E$3:$E$97,
    "Other"
)</f>
        <v>Big Ten</v>
      </c>
      <c r="E612">
        <f t="shared" si="18"/>
        <v>0</v>
      </c>
      <c r="F612">
        <f t="shared" si="19"/>
        <v>1</v>
      </c>
    </row>
    <row r="613" spans="1:6" x14ac:dyDescent="0.35">
      <c r="A613">
        <v>2025</v>
      </c>
      <c r="B613">
        <v>2377</v>
      </c>
      <c r="C613" t="s">
        <v>149</v>
      </c>
      <c r="D613" t="str" cm="1">
        <f t="array" ref="D613">_xlfn.XLOOKUP(1,
    ('team lookup'!$C$3:$C$97 = B613) * ('team lookup'!$A$3:$A$97 &lt;= A613) * (IF('team lookup'!$B$3:$B$97 = "", 9999, 'team lookup'!$B$3:$B$97) &gt;= A613),
    'team lookup'!$E$3:$E$97,
    "Other"
)</f>
        <v>Other</v>
      </c>
      <c r="E613">
        <f t="shared" si="18"/>
        <v>0</v>
      </c>
      <c r="F613">
        <f t="shared" si="19"/>
        <v>0</v>
      </c>
    </row>
    <row r="614" spans="1:6" x14ac:dyDescent="0.35">
      <c r="A614">
        <v>2025</v>
      </c>
      <c r="B614">
        <v>235</v>
      </c>
      <c r="C614" t="s">
        <v>29</v>
      </c>
      <c r="D614" t="str" cm="1">
        <f t="array" ref="D614">_xlfn.XLOOKUP(1,
    ('team lookup'!$C$3:$C$97 = B614) * ('team lookup'!$A$3:$A$97 &lt;= A614) * (IF('team lookup'!$B$3:$B$97 = "", 9999, 'team lookup'!$B$3:$B$97) &gt;= A614),
    'team lookup'!$E$3:$E$97,
    "Other"
)</f>
        <v>Other</v>
      </c>
      <c r="E614">
        <f t="shared" si="18"/>
        <v>0</v>
      </c>
      <c r="F614">
        <f t="shared" si="19"/>
        <v>0</v>
      </c>
    </row>
    <row r="615" spans="1:6" x14ac:dyDescent="0.35">
      <c r="A615">
        <v>2025</v>
      </c>
      <c r="B615">
        <v>130</v>
      </c>
      <c r="C615" t="s">
        <v>52</v>
      </c>
      <c r="D615" t="str" cm="1">
        <f t="array" ref="D615">_xlfn.XLOOKUP(1,
    ('team lookup'!$C$3:$C$97 = B615) * ('team lookup'!$A$3:$A$97 &lt;= A615) * (IF('team lookup'!$B$3:$B$97 = "", 9999, 'team lookup'!$B$3:$B$97) &gt;= A615),
    'team lookup'!$E$3:$E$97,
    "Other"
)</f>
        <v>Big Ten</v>
      </c>
      <c r="E615">
        <f t="shared" si="18"/>
        <v>0</v>
      </c>
      <c r="F615">
        <f t="shared" si="19"/>
        <v>1</v>
      </c>
    </row>
    <row r="616" spans="1:6" x14ac:dyDescent="0.35">
      <c r="A616">
        <v>2025</v>
      </c>
      <c r="B616">
        <v>127</v>
      </c>
      <c r="C616" t="s">
        <v>31</v>
      </c>
      <c r="D616" t="str" cm="1">
        <f t="array" ref="D616">_xlfn.XLOOKUP(1,
    ('team lookup'!$C$3:$C$97 = B616) * ('team lookup'!$A$3:$A$97 &lt;= A616) * (IF('team lookup'!$B$3:$B$97 = "", 9999, 'team lookup'!$B$3:$B$97) &gt;= A616),
    'team lookup'!$E$3:$E$97,
    "Other"
)</f>
        <v>Big Ten</v>
      </c>
      <c r="E616">
        <f t="shared" si="18"/>
        <v>0</v>
      </c>
      <c r="F616">
        <f t="shared" si="19"/>
        <v>1</v>
      </c>
    </row>
    <row r="617" spans="1:6" x14ac:dyDescent="0.35">
      <c r="A617">
        <v>2025</v>
      </c>
      <c r="B617">
        <v>344</v>
      </c>
      <c r="C617" t="s">
        <v>33</v>
      </c>
      <c r="D617" t="str" cm="1">
        <f t="array" ref="D617">_xlfn.XLOOKUP(1,
    ('team lookup'!$C$3:$C$97 = B617) * ('team lookup'!$A$3:$A$97 &lt;= A617) * (IF('team lookup'!$B$3:$B$97 = "", 9999, 'team lookup'!$B$3:$B$97) &gt;= A617),
    'team lookup'!$E$3:$E$97,
    "Other"
)</f>
        <v>SEC</v>
      </c>
      <c r="E617">
        <f t="shared" si="18"/>
        <v>1</v>
      </c>
      <c r="F617">
        <f t="shared" si="19"/>
        <v>1</v>
      </c>
    </row>
    <row r="618" spans="1:6" x14ac:dyDescent="0.35">
      <c r="A618">
        <v>2025</v>
      </c>
      <c r="B618">
        <v>142</v>
      </c>
      <c r="C618" t="s">
        <v>54</v>
      </c>
      <c r="D618" t="str" cm="1">
        <f t="array" ref="D618">_xlfn.XLOOKUP(1,
    ('team lookup'!$C$3:$C$97 = B618) * ('team lookup'!$A$3:$A$97 &lt;= A618) * (IF('team lookup'!$B$3:$B$97 = "", 9999, 'team lookup'!$B$3:$B$97) &gt;= A618),
    'team lookup'!$E$3:$E$97,
    "Other"
)</f>
        <v>SEC</v>
      </c>
      <c r="E618">
        <f t="shared" si="18"/>
        <v>1</v>
      </c>
      <c r="F618">
        <f t="shared" si="19"/>
        <v>1</v>
      </c>
    </row>
    <row r="619" spans="1:6" x14ac:dyDescent="0.35">
      <c r="A619">
        <v>2008</v>
      </c>
      <c r="B619">
        <v>201</v>
      </c>
      <c r="C619" t="s">
        <v>121</v>
      </c>
      <c r="D619" t="str" cm="1">
        <f t="array" ref="D619">_xlfn.XLOOKUP(1,
    ('team lookup'!$C$3:$C$97 = B619) * ('team lookup'!$A$3:$A$97 &lt;= A619) * (IF('team lookup'!$B$3:$B$97 = "", 9999, 'team lookup'!$B$3:$B$97) &gt;= A619),
    'team lookup'!$E$3:$E$97,
    "Other"
)</f>
        <v>Big12</v>
      </c>
      <c r="E619">
        <f t="shared" si="18"/>
        <v>1</v>
      </c>
      <c r="F619">
        <f t="shared" si="19"/>
        <v>1</v>
      </c>
    </row>
    <row r="620" spans="1:6" x14ac:dyDescent="0.35">
      <c r="A620">
        <v>2008</v>
      </c>
      <c r="B620">
        <v>198</v>
      </c>
      <c r="C620" t="s">
        <v>151</v>
      </c>
      <c r="D620" t="str" cm="1">
        <f t="array" ref="D620">_xlfn.XLOOKUP(1,
    ('team lookup'!$C$3:$C$97 = B620) * ('team lookup'!$A$3:$A$97 &lt;= A620) * (IF('team lookup'!$B$3:$B$97 = "", 9999, 'team lookup'!$B$3:$B$97) &gt;= A620),
    'team lookup'!$E$3:$E$97,
    "Other"
)</f>
        <v>Other</v>
      </c>
      <c r="E620">
        <f t="shared" si="18"/>
        <v>0</v>
      </c>
      <c r="F620">
        <f t="shared" si="19"/>
        <v>0</v>
      </c>
    </row>
    <row r="621" spans="1:6" x14ac:dyDescent="0.35">
      <c r="A621">
        <v>2008</v>
      </c>
      <c r="B621">
        <v>2483</v>
      </c>
      <c r="C621" t="s">
        <v>122</v>
      </c>
      <c r="D621" t="str" cm="1">
        <f t="array" ref="D621">_xlfn.XLOOKUP(1,
    ('team lookup'!$C$3:$C$97 = B621) * ('team lookup'!$A$3:$A$97 &lt;= A621) * (IF('team lookup'!$B$3:$B$97 = "", 9999, 'team lookup'!$B$3:$B$97) &gt;= A621),
    'team lookup'!$E$3:$E$97,
    "Other"
)</f>
        <v>Other</v>
      </c>
      <c r="E621">
        <f t="shared" si="18"/>
        <v>0</v>
      </c>
      <c r="F621">
        <f t="shared" si="19"/>
        <v>0</v>
      </c>
    </row>
    <row r="622" spans="1:6" x14ac:dyDescent="0.35">
      <c r="A622">
        <v>2008</v>
      </c>
      <c r="B622">
        <v>221</v>
      </c>
      <c r="C622" t="s">
        <v>152</v>
      </c>
      <c r="D622" t="str" cm="1">
        <f t="array" ref="D622">_xlfn.XLOOKUP(1,
    ('team lookup'!$C$3:$C$97 = B622) * ('team lookup'!$A$3:$A$97 &lt;= A622) * (IF('team lookup'!$B$3:$B$97 = "", 9999, 'team lookup'!$B$3:$B$97) &gt;= A622),
    'team lookup'!$E$3:$E$97,
    "Other"
)</f>
        <v>Big East</v>
      </c>
      <c r="E622">
        <f t="shared" si="18"/>
        <v>0</v>
      </c>
      <c r="F622">
        <f t="shared" si="19"/>
        <v>1</v>
      </c>
    </row>
    <row r="623" spans="1:6" x14ac:dyDescent="0.35">
      <c r="A623">
        <v>2008</v>
      </c>
      <c r="B623">
        <v>2502</v>
      </c>
      <c r="C623" t="s">
        <v>153</v>
      </c>
      <c r="D623" t="str" cm="1">
        <f t="array" ref="D623">_xlfn.XLOOKUP(1,
    ('team lookup'!$C$3:$C$97 = B623) * ('team lookup'!$A$3:$A$97 &lt;= A623) * (IF('team lookup'!$B$3:$B$97 = "", 9999, 'team lookup'!$B$3:$B$97) &gt;= A623),
    'team lookup'!$E$3:$E$97,
    "Other"
)</f>
        <v>Other</v>
      </c>
      <c r="E623">
        <f t="shared" si="18"/>
        <v>0</v>
      </c>
      <c r="F623">
        <f t="shared" si="19"/>
        <v>0</v>
      </c>
    </row>
    <row r="624" spans="1:6" x14ac:dyDescent="0.35">
      <c r="A624">
        <v>2008</v>
      </c>
      <c r="B624">
        <v>2509</v>
      </c>
      <c r="C624" t="s">
        <v>154</v>
      </c>
      <c r="D624" t="str" cm="1">
        <f t="array" ref="D624">_xlfn.XLOOKUP(1,
    ('team lookup'!$C$3:$C$97 = B624) * ('team lookup'!$A$3:$A$97 &lt;= A624) * (IF('team lookup'!$B$3:$B$97 = "", 9999, 'team lookup'!$B$3:$B$97) &gt;= A624),
    'team lookup'!$E$3:$E$97,
    "Other"
)</f>
        <v>Big Ten</v>
      </c>
      <c r="E624">
        <f t="shared" si="18"/>
        <v>0</v>
      </c>
      <c r="F624">
        <f t="shared" si="19"/>
        <v>1</v>
      </c>
    </row>
    <row r="625" spans="1:6" x14ac:dyDescent="0.35">
      <c r="A625">
        <v>2008</v>
      </c>
      <c r="B625">
        <v>2603</v>
      </c>
      <c r="C625" t="s">
        <v>155</v>
      </c>
      <c r="D625" t="str" cm="1">
        <f t="array" ref="D625">_xlfn.XLOOKUP(1,
    ('team lookup'!$C$3:$C$97 = B625) * ('team lookup'!$A$3:$A$97 &lt;= A625) * (IF('team lookup'!$B$3:$B$97 = "", 9999, 'team lookup'!$B$3:$B$97) &gt;= A625),
    'team lookup'!$E$3:$E$97,
    "Other"
)</f>
        <v>Other</v>
      </c>
      <c r="E625">
        <f t="shared" si="18"/>
        <v>0</v>
      </c>
      <c r="F625">
        <f t="shared" si="19"/>
        <v>0</v>
      </c>
    </row>
    <row r="626" spans="1:6" x14ac:dyDescent="0.35">
      <c r="A626">
        <v>2008</v>
      </c>
      <c r="B626">
        <v>2608</v>
      </c>
      <c r="C626" t="s">
        <v>156</v>
      </c>
      <c r="D626" t="str" cm="1">
        <f t="array" ref="D626">_xlfn.XLOOKUP(1,
    ('team lookup'!$C$3:$C$97 = B626) * ('team lookup'!$A$3:$A$97 &lt;= A626) * (IF('team lookup'!$B$3:$B$97 = "", 9999, 'team lookup'!$B$3:$B$97) &gt;= A626),
    'team lookup'!$E$3:$E$97,
    "Other"
)</f>
        <v>Other</v>
      </c>
      <c r="E626">
        <f t="shared" si="18"/>
        <v>0</v>
      </c>
      <c r="F626">
        <f t="shared" si="19"/>
        <v>0</v>
      </c>
    </row>
    <row r="627" spans="1:6" x14ac:dyDescent="0.35">
      <c r="A627">
        <v>2008</v>
      </c>
      <c r="B627">
        <v>301</v>
      </c>
      <c r="C627" t="s">
        <v>157</v>
      </c>
      <c r="D627" t="str" cm="1">
        <f t="array" ref="D627">_xlfn.XLOOKUP(1,
    ('team lookup'!$C$3:$C$97 = B627) * ('team lookup'!$A$3:$A$97 &lt;= A627) * (IF('team lookup'!$B$3:$B$97 = "", 9999, 'team lookup'!$B$3:$B$97) &gt;= A627),
    'team lookup'!$E$3:$E$97,
    "Other"
)</f>
        <v>Other</v>
      </c>
      <c r="E627">
        <f t="shared" si="18"/>
        <v>0</v>
      </c>
      <c r="F627">
        <f t="shared" si="19"/>
        <v>0</v>
      </c>
    </row>
    <row r="628" spans="1:6" x14ac:dyDescent="0.35">
      <c r="A628">
        <v>2008</v>
      </c>
      <c r="B628">
        <v>2561</v>
      </c>
      <c r="C628" t="s">
        <v>158</v>
      </c>
      <c r="D628" t="str" cm="1">
        <f t="array" ref="D628">_xlfn.XLOOKUP(1,
    ('team lookup'!$C$3:$C$97 = B628) * ('team lookup'!$A$3:$A$97 &lt;= A628) * (IF('team lookup'!$B$3:$B$97 = "", 9999, 'team lookup'!$B$3:$B$97) &gt;= A628),
    'team lookup'!$E$3:$E$97,
    "Other"
)</f>
        <v>Other</v>
      </c>
      <c r="E628">
        <f t="shared" si="18"/>
        <v>0</v>
      </c>
      <c r="F628">
        <f t="shared" si="19"/>
        <v>0</v>
      </c>
    </row>
    <row r="629" spans="1:6" x14ac:dyDescent="0.35">
      <c r="A629">
        <v>2008</v>
      </c>
      <c r="B629">
        <v>6</v>
      </c>
      <c r="C629" t="s">
        <v>159</v>
      </c>
      <c r="D629" t="str" cm="1">
        <f t="array" ref="D629">_xlfn.XLOOKUP(1,
    ('team lookup'!$C$3:$C$97 = B629) * ('team lookup'!$A$3:$A$97 &lt;= A629) * (IF('team lookup'!$B$3:$B$97 = "", 9999, 'team lookup'!$B$3:$B$97) &gt;= A629),
    'team lookup'!$E$3:$E$97,
    "Other"
)</f>
        <v>Other</v>
      </c>
      <c r="E629">
        <f t="shared" si="18"/>
        <v>0</v>
      </c>
      <c r="F629">
        <f t="shared" si="19"/>
        <v>0</v>
      </c>
    </row>
    <row r="630" spans="1:6" x14ac:dyDescent="0.35">
      <c r="A630">
        <v>2008</v>
      </c>
      <c r="B630">
        <v>24</v>
      </c>
      <c r="C630" t="s">
        <v>160</v>
      </c>
      <c r="D630" t="str" cm="1">
        <f t="array" ref="D630">_xlfn.XLOOKUP(1,
    ('team lookup'!$C$3:$C$97 = B630) * ('team lookup'!$A$3:$A$97 &lt;= A630) * (IF('team lookup'!$B$3:$B$97 = "", 9999, 'team lookup'!$B$3:$B$97) &gt;= A630),
    'team lookup'!$E$3:$E$97,
    "Other"
)</f>
        <v>Other</v>
      </c>
      <c r="E630">
        <f t="shared" si="18"/>
        <v>0</v>
      </c>
      <c r="F630">
        <f t="shared" si="19"/>
        <v>0</v>
      </c>
    </row>
    <row r="631" spans="1:6" x14ac:dyDescent="0.35">
      <c r="A631">
        <v>2008</v>
      </c>
      <c r="B631">
        <v>218</v>
      </c>
      <c r="C631" t="s">
        <v>161</v>
      </c>
      <c r="D631" t="str" cm="1">
        <f t="array" ref="D631">_xlfn.XLOOKUP(1,
    ('team lookup'!$C$3:$C$97 = B631) * ('team lookup'!$A$3:$A$97 &lt;= A631) * (IF('team lookup'!$B$3:$B$97 = "", 9999, 'team lookup'!$B$3:$B$97) &gt;= A631),
    'team lookup'!$E$3:$E$97,
    "Other"
)</f>
        <v>Other</v>
      </c>
      <c r="E631">
        <f t="shared" si="18"/>
        <v>0</v>
      </c>
      <c r="F631">
        <f t="shared" si="19"/>
        <v>0</v>
      </c>
    </row>
    <row r="632" spans="1:6" x14ac:dyDescent="0.35">
      <c r="A632">
        <v>2008</v>
      </c>
      <c r="B632">
        <v>2633</v>
      </c>
      <c r="C632" t="s">
        <v>162</v>
      </c>
      <c r="D632" t="str" cm="1">
        <f t="array" ref="D632">_xlfn.XLOOKUP(1,
    ('team lookup'!$C$3:$C$97 = B632) * ('team lookup'!$A$3:$A$97 &lt;= A632) * (IF('team lookup'!$B$3:$B$97 = "", 9999, 'team lookup'!$B$3:$B$97) &gt;= A632),
    'team lookup'!$E$3:$E$97,
    "Other"
)</f>
        <v>SEC</v>
      </c>
      <c r="E632">
        <f t="shared" si="18"/>
        <v>1</v>
      </c>
      <c r="F632">
        <f t="shared" si="19"/>
        <v>1</v>
      </c>
    </row>
    <row r="633" spans="1:6" x14ac:dyDescent="0.35">
      <c r="A633">
        <v>2008</v>
      </c>
      <c r="B633">
        <v>251</v>
      </c>
      <c r="C633" t="s">
        <v>163</v>
      </c>
      <c r="D633" t="str" cm="1">
        <f t="array" ref="D633">_xlfn.XLOOKUP(1,
    ('team lookup'!$C$3:$C$97 = B633) * ('team lookup'!$A$3:$A$97 &lt;= A633) * (IF('team lookup'!$B$3:$B$97 = "", 9999, 'team lookup'!$B$3:$B$97) &gt;= A633),
    'team lookup'!$E$3:$E$97,
    "Other"
)</f>
        <v>Big12</v>
      </c>
      <c r="E633">
        <f t="shared" si="18"/>
        <v>1</v>
      </c>
      <c r="F633">
        <f t="shared" si="19"/>
        <v>1</v>
      </c>
    </row>
    <row r="634" spans="1:6" x14ac:dyDescent="0.35">
      <c r="A634">
        <v>2008</v>
      </c>
      <c r="B634">
        <v>245</v>
      </c>
      <c r="C634" t="s">
        <v>164</v>
      </c>
      <c r="D634" t="str" cm="1">
        <f t="array" ref="D634">_xlfn.XLOOKUP(1,
    ('team lookup'!$C$3:$C$97 = B634) * ('team lookup'!$A$3:$A$97 &lt;= A634) * (IF('team lookup'!$B$3:$B$97 = "", 9999, 'team lookup'!$B$3:$B$97) &gt;= A634),
    'team lookup'!$E$3:$E$97,
    "Other"
)</f>
        <v>Big12</v>
      </c>
      <c r="E634">
        <f t="shared" si="18"/>
        <v>1</v>
      </c>
      <c r="F634">
        <f t="shared" si="19"/>
        <v>1</v>
      </c>
    </row>
    <row r="635" spans="1:6" x14ac:dyDescent="0.35">
      <c r="A635">
        <v>2008</v>
      </c>
      <c r="B635">
        <v>26</v>
      </c>
      <c r="C635" t="s">
        <v>165</v>
      </c>
      <c r="D635" t="str" cm="1">
        <f t="array" ref="D635">_xlfn.XLOOKUP(1,
    ('team lookup'!$C$3:$C$97 = B635) * ('team lookup'!$A$3:$A$97 &lt;= A635) * (IF('team lookup'!$B$3:$B$97 = "", 9999, 'team lookup'!$B$3:$B$97) &gt;= A635),
    'team lookup'!$E$3:$E$97,
    "Other"
)</f>
        <v>Other</v>
      </c>
      <c r="E635">
        <f t="shared" si="18"/>
        <v>0</v>
      </c>
      <c r="F635">
        <f t="shared" si="19"/>
        <v>0</v>
      </c>
    </row>
    <row r="636" spans="1:6" x14ac:dyDescent="0.35">
      <c r="A636">
        <v>2008</v>
      </c>
      <c r="B636">
        <v>41</v>
      </c>
      <c r="C636" t="s">
        <v>166</v>
      </c>
      <c r="D636" t="str" cm="1">
        <f t="array" ref="D636">_xlfn.XLOOKUP(1,
    ('team lookup'!$C$3:$C$97 = B636) * ('team lookup'!$A$3:$A$97 &lt;= A636) * (IF('team lookup'!$B$3:$B$97 = "", 9999, 'team lookup'!$B$3:$B$97) &gt;= A636),
    'team lookup'!$E$3:$E$97,
    "Other"
)</f>
        <v>Big East</v>
      </c>
      <c r="E636">
        <f t="shared" si="18"/>
        <v>0</v>
      </c>
      <c r="F636">
        <f t="shared" si="19"/>
        <v>1</v>
      </c>
    </row>
    <row r="637" spans="1:6" x14ac:dyDescent="0.35">
      <c r="A637">
        <v>2008</v>
      </c>
      <c r="B637">
        <v>2378</v>
      </c>
      <c r="C637" t="s">
        <v>167</v>
      </c>
      <c r="D637" t="str" cm="1">
        <f t="array" ref="D637">_xlfn.XLOOKUP(1,
    ('team lookup'!$C$3:$C$97 = B637) * ('team lookup'!$A$3:$A$97 &lt;= A637) * (IF('team lookup'!$B$3:$B$97 = "", 9999, 'team lookup'!$B$3:$B$97) &gt;= A637),
    'team lookup'!$E$3:$E$97,
    "Other"
)</f>
        <v>Other</v>
      </c>
      <c r="E637">
        <f t="shared" si="18"/>
        <v>0</v>
      </c>
      <c r="F637">
        <f t="shared" si="19"/>
        <v>0</v>
      </c>
    </row>
    <row r="638" spans="1:6" x14ac:dyDescent="0.35">
      <c r="A638">
        <v>2008</v>
      </c>
      <c r="B638">
        <v>2439</v>
      </c>
      <c r="C638" t="s">
        <v>168</v>
      </c>
      <c r="D638" t="str" cm="1">
        <f t="array" ref="D638">_xlfn.XLOOKUP(1,
    ('team lookup'!$C$3:$C$97 = B638) * ('team lookup'!$A$3:$A$97 &lt;= A638) * (IF('team lookup'!$B$3:$B$97 = "", 9999, 'team lookup'!$B$3:$B$97) &gt;= A638),
    'team lookup'!$E$3:$E$97,
    "Other"
)</f>
        <v>Other</v>
      </c>
      <c r="E638">
        <f t="shared" si="18"/>
        <v>0</v>
      </c>
      <c r="F638">
        <f t="shared" si="19"/>
        <v>0</v>
      </c>
    </row>
    <row r="639" spans="1:6" x14ac:dyDescent="0.35">
      <c r="A639">
        <v>2008</v>
      </c>
      <c r="B639">
        <v>30</v>
      </c>
      <c r="C639" t="s">
        <v>169</v>
      </c>
      <c r="D639" t="str" cm="1">
        <f t="array" ref="D639">_xlfn.XLOOKUP(1,
    ('team lookup'!$C$3:$C$97 = B639) * ('team lookup'!$A$3:$A$97 &lt;= A639) * (IF('team lookup'!$B$3:$B$97 = "", 9999, 'team lookup'!$B$3:$B$97) &gt;= A639),
    'team lookup'!$E$3:$E$97,
    "Other"
)</f>
        <v>Other</v>
      </c>
      <c r="E639">
        <f t="shared" si="18"/>
        <v>0</v>
      </c>
      <c r="F639">
        <f t="shared" si="19"/>
        <v>0</v>
      </c>
    </row>
    <row r="640" spans="1:6" x14ac:dyDescent="0.35">
      <c r="A640">
        <v>2008</v>
      </c>
      <c r="B640">
        <v>250</v>
      </c>
      <c r="C640" t="s">
        <v>170</v>
      </c>
      <c r="D640" t="str" cm="1">
        <f t="array" ref="D640">_xlfn.XLOOKUP(1,
    ('team lookup'!$C$3:$C$97 = B640) * ('team lookup'!$A$3:$A$97 &lt;= A640) * (IF('team lookup'!$B$3:$B$97 = "", 9999, 'team lookup'!$B$3:$B$97) &gt;= A640),
    'team lookup'!$E$3:$E$97,
    "Other"
)</f>
        <v>Other</v>
      </c>
      <c r="E640">
        <f t="shared" si="18"/>
        <v>0</v>
      </c>
      <c r="F640">
        <f t="shared" si="19"/>
        <v>0</v>
      </c>
    </row>
    <row r="641" spans="1:6" x14ac:dyDescent="0.35">
      <c r="A641">
        <v>2008</v>
      </c>
      <c r="B641">
        <v>238</v>
      </c>
      <c r="C641" t="s">
        <v>171</v>
      </c>
      <c r="D641" t="str" cm="1">
        <f t="array" ref="D641">_xlfn.XLOOKUP(1,
    ('team lookup'!$C$3:$C$97 = B641) * ('team lookup'!$A$3:$A$97 &lt;= A641) * (IF('team lookup'!$B$3:$B$97 = "", 9999, 'team lookup'!$B$3:$B$97) &gt;= A641),
    'team lookup'!$E$3:$E$97,
    "Other"
)</f>
        <v>SEC</v>
      </c>
      <c r="E641">
        <f t="shared" si="18"/>
        <v>1</v>
      </c>
      <c r="F641">
        <f t="shared" si="19"/>
        <v>1</v>
      </c>
    </row>
    <row r="642" spans="1:6" x14ac:dyDescent="0.35">
      <c r="A642">
        <v>2008</v>
      </c>
      <c r="B642">
        <v>222</v>
      </c>
      <c r="C642" t="s">
        <v>172</v>
      </c>
      <c r="D642" t="str" cm="1">
        <f t="array" ref="D642">_xlfn.XLOOKUP(1,
    ('team lookup'!$C$3:$C$97 = B642) * ('team lookup'!$A$3:$A$97 &lt;= A642) * (IF('team lookup'!$B$3:$B$97 = "", 9999, 'team lookup'!$B$3:$B$97) &gt;= A642),
    'team lookup'!$E$3:$E$97,
    "Other"
)</f>
        <v>Big East</v>
      </c>
      <c r="E642">
        <f t="shared" si="18"/>
        <v>0</v>
      </c>
      <c r="F642">
        <f t="shared" si="19"/>
        <v>1</v>
      </c>
    </row>
    <row r="643" spans="1:6" x14ac:dyDescent="0.35">
      <c r="A643">
        <v>2008</v>
      </c>
      <c r="B643">
        <v>265</v>
      </c>
      <c r="C643" t="s">
        <v>173</v>
      </c>
      <c r="D643" t="str" cm="1">
        <f t="array" ref="D643">_xlfn.XLOOKUP(1,
    ('team lookup'!$C$3:$C$97 = B643) * ('team lookup'!$A$3:$A$97 &lt;= A643) * (IF('team lookup'!$B$3:$B$97 = "", 9999, 'team lookup'!$B$3:$B$97) &gt;= A643),
    'team lookup'!$E$3:$E$97,
    "Other"
)</f>
        <v>Other</v>
      </c>
      <c r="E643">
        <f t="shared" ref="E643:E706" si="20">IF(OR(D643="ACC", D643="SEC", D643="Big12"), 1,0)</f>
        <v>0</v>
      </c>
      <c r="F643">
        <f t="shared" ref="F643:F706" si="21">IF(D643&lt;&gt;"Other", 1,0)</f>
        <v>0</v>
      </c>
    </row>
    <row r="644" spans="1:6" x14ac:dyDescent="0.35">
      <c r="A644">
        <v>2008</v>
      </c>
      <c r="B644">
        <v>277</v>
      </c>
      <c r="C644" t="s">
        <v>174</v>
      </c>
      <c r="D644" t="str" cm="1">
        <f t="array" ref="D644">_xlfn.XLOOKUP(1,
    ('team lookup'!$C$3:$C$97 = B644) * ('team lookup'!$A$3:$A$97 &lt;= A644) * (IF('team lookup'!$B$3:$B$97 = "", 9999, 'team lookup'!$B$3:$B$97) &gt;= A644),
    'team lookup'!$E$3:$E$97,
    "Other"
)</f>
        <v>Big East</v>
      </c>
      <c r="E644">
        <f t="shared" si="20"/>
        <v>0</v>
      </c>
      <c r="F644">
        <f t="shared" si="21"/>
        <v>1</v>
      </c>
    </row>
    <row r="645" spans="1:6" x14ac:dyDescent="0.35">
      <c r="A645">
        <v>2008</v>
      </c>
      <c r="B645">
        <v>98</v>
      </c>
      <c r="C645" t="s">
        <v>175</v>
      </c>
      <c r="D645" t="str" cm="1">
        <f t="array" ref="D645">_xlfn.XLOOKUP(1,
    ('team lookup'!$C$3:$C$97 = B645) * ('team lookup'!$A$3:$A$97 &lt;= A645) * (IF('team lookup'!$B$3:$B$97 = "", 9999, 'team lookup'!$B$3:$B$97) &gt;= A645),
    'team lookup'!$E$3:$E$97,
    "Other"
)</f>
        <v>Other</v>
      </c>
      <c r="E645">
        <f t="shared" si="20"/>
        <v>0</v>
      </c>
      <c r="F645">
        <f t="shared" si="21"/>
        <v>0</v>
      </c>
    </row>
    <row r="646" spans="1:6" x14ac:dyDescent="0.35">
      <c r="A646">
        <v>2008</v>
      </c>
      <c r="B646">
        <v>2737</v>
      </c>
      <c r="C646" t="s">
        <v>176</v>
      </c>
      <c r="D646" t="str" cm="1">
        <f t="array" ref="D646">_xlfn.XLOOKUP(1,
    ('team lookup'!$C$3:$C$97 = B646) * ('team lookup'!$A$3:$A$97 &lt;= A646) * (IF('team lookup'!$B$3:$B$97 = "", 9999, 'team lookup'!$B$3:$B$97) &gt;= A646),
    'team lookup'!$E$3:$E$97,
    "Other"
)</f>
        <v>Other</v>
      </c>
      <c r="E646">
        <f t="shared" si="20"/>
        <v>0</v>
      </c>
      <c r="F646">
        <f t="shared" si="21"/>
        <v>0</v>
      </c>
    </row>
    <row r="647" spans="1:6" x14ac:dyDescent="0.35">
      <c r="A647">
        <v>2008</v>
      </c>
      <c r="B647">
        <v>275</v>
      </c>
      <c r="C647" t="s">
        <v>177</v>
      </c>
      <c r="D647" t="str" cm="1">
        <f t="array" ref="D647">_xlfn.XLOOKUP(1,
    ('team lookup'!$C$3:$C$97 = B647) * ('team lookup'!$A$3:$A$97 &lt;= A647) * (IF('team lookup'!$B$3:$B$97 = "", 9999, 'team lookup'!$B$3:$B$97) &gt;= A647),
    'team lookup'!$E$3:$E$97,
    "Other"
)</f>
        <v>Big Ten</v>
      </c>
      <c r="E647">
        <f t="shared" si="20"/>
        <v>0</v>
      </c>
      <c r="F647">
        <f t="shared" si="21"/>
        <v>1</v>
      </c>
    </row>
    <row r="648" spans="1:6" x14ac:dyDescent="0.35">
      <c r="A648">
        <v>2008</v>
      </c>
      <c r="B648">
        <v>2752</v>
      </c>
      <c r="C648" t="s">
        <v>178</v>
      </c>
      <c r="D648" t="str" cm="1">
        <f t="array" ref="D648">_xlfn.XLOOKUP(1,
    ('team lookup'!$C$3:$C$97 = B648) * ('team lookup'!$A$3:$A$97 &lt;= A648) * (IF('team lookup'!$B$3:$B$97 = "", 9999, 'team lookup'!$B$3:$B$97) &gt;= A648),
    'team lookup'!$E$3:$E$97,
    "Other"
)</f>
        <v>Other</v>
      </c>
      <c r="E648">
        <f t="shared" si="20"/>
        <v>0</v>
      </c>
      <c r="F648">
        <f t="shared" si="21"/>
        <v>0</v>
      </c>
    </row>
    <row r="649" spans="1:6" x14ac:dyDescent="0.35">
      <c r="A649">
        <v>2009</v>
      </c>
      <c r="B649">
        <v>2449</v>
      </c>
      <c r="C649" t="s">
        <v>106</v>
      </c>
      <c r="D649" t="str" cm="1">
        <f t="array" ref="D649">_xlfn.XLOOKUP(1,
    ('team lookup'!$C$3:$C$97 = B649) * ('team lookup'!$A$3:$A$97 &lt;= A649) * (IF('team lookup'!$B$3:$B$97 = "", 9999, 'team lookup'!$B$3:$B$97) &gt;= A649),
    'team lookup'!$E$3:$E$97,
    "Other"
)</f>
        <v>Other</v>
      </c>
      <c r="E649">
        <f t="shared" si="20"/>
        <v>0</v>
      </c>
      <c r="F649">
        <f t="shared" si="21"/>
        <v>0</v>
      </c>
    </row>
    <row r="650" spans="1:6" x14ac:dyDescent="0.35">
      <c r="A650">
        <v>2009</v>
      </c>
      <c r="B650">
        <v>153</v>
      </c>
      <c r="C650" t="s">
        <v>35</v>
      </c>
      <c r="D650" t="str" cm="1">
        <f t="array" ref="D650">_xlfn.XLOOKUP(1,
    ('team lookup'!$C$3:$C$97 = B650) * ('team lookup'!$A$3:$A$97 &lt;= A650) * (IF('team lookup'!$B$3:$B$97 = "", 9999, 'team lookup'!$B$3:$B$97) &gt;= A650),
    'team lookup'!$E$3:$E$97,
    "Other"
)</f>
        <v>ACC</v>
      </c>
      <c r="E650">
        <f t="shared" si="20"/>
        <v>1</v>
      </c>
      <c r="F650">
        <f t="shared" si="21"/>
        <v>1</v>
      </c>
    </row>
    <row r="651" spans="1:6" x14ac:dyDescent="0.35">
      <c r="A651">
        <v>2009</v>
      </c>
      <c r="B651">
        <v>2460</v>
      </c>
      <c r="C651" t="s">
        <v>67</v>
      </c>
      <c r="D651" t="str" cm="1">
        <f t="array" ref="D651">_xlfn.XLOOKUP(1,
    ('team lookup'!$C$3:$C$97 = B651) * ('team lookup'!$A$3:$A$97 &lt;= A651) * (IF('team lookup'!$B$3:$B$97 = "", 9999, 'team lookup'!$B$3:$B$97) &gt;= A651),
    'team lookup'!$E$3:$E$97,
    "Other"
)</f>
        <v>Other</v>
      </c>
      <c r="E651">
        <f t="shared" si="20"/>
        <v>0</v>
      </c>
      <c r="F651">
        <f t="shared" si="21"/>
        <v>0</v>
      </c>
    </row>
    <row r="652" spans="1:6" x14ac:dyDescent="0.35">
      <c r="A652">
        <v>2009</v>
      </c>
      <c r="B652">
        <v>194</v>
      </c>
      <c r="C652" t="s">
        <v>77</v>
      </c>
      <c r="D652" t="str" cm="1">
        <f t="array" ref="D652">_xlfn.XLOOKUP(1,
    ('team lookup'!$C$3:$C$97 = B652) * ('team lookup'!$A$3:$A$97 &lt;= A652) * (IF('team lookup'!$B$3:$B$97 = "", 9999, 'team lookup'!$B$3:$B$97) &gt;= A652),
    'team lookup'!$E$3:$E$97,
    "Other"
)</f>
        <v>Big Ten</v>
      </c>
      <c r="E652">
        <f t="shared" si="20"/>
        <v>0</v>
      </c>
      <c r="F652">
        <f t="shared" si="21"/>
        <v>1</v>
      </c>
    </row>
    <row r="653" spans="1:6" x14ac:dyDescent="0.35">
      <c r="A653">
        <v>2009</v>
      </c>
      <c r="B653">
        <v>201</v>
      </c>
      <c r="C653" t="s">
        <v>121</v>
      </c>
      <c r="D653" t="str" cm="1">
        <f t="array" ref="D653">_xlfn.XLOOKUP(1,
    ('team lookup'!$C$3:$C$97 = B653) * ('team lookup'!$A$3:$A$97 &lt;= A653) * (IF('team lookup'!$B$3:$B$97 = "", 9999, 'team lookup'!$B$3:$B$97) &gt;= A653),
    'team lookup'!$E$3:$E$97,
    "Other"
)</f>
        <v>Big12</v>
      </c>
      <c r="E653">
        <f t="shared" si="20"/>
        <v>1</v>
      </c>
      <c r="F653">
        <f t="shared" si="21"/>
        <v>1</v>
      </c>
    </row>
    <row r="654" spans="1:6" x14ac:dyDescent="0.35">
      <c r="A654">
        <v>2009</v>
      </c>
      <c r="B654">
        <v>197</v>
      </c>
      <c r="C654" t="s">
        <v>179</v>
      </c>
      <c r="D654" t="str" cm="1">
        <f t="array" ref="D654">_xlfn.XLOOKUP(1,
    ('team lookup'!$C$3:$C$97 = B654) * ('team lookup'!$A$3:$A$97 &lt;= A654) * (IF('team lookup'!$B$3:$B$97 = "", 9999, 'team lookup'!$B$3:$B$97) &gt;= A654),
    'team lookup'!$E$3:$E$97,
    "Other"
)</f>
        <v>Big12</v>
      </c>
      <c r="E654">
        <f t="shared" si="20"/>
        <v>1</v>
      </c>
      <c r="F654">
        <f t="shared" si="21"/>
        <v>1</v>
      </c>
    </row>
    <row r="655" spans="1:6" x14ac:dyDescent="0.35">
      <c r="A655">
        <v>2009</v>
      </c>
      <c r="B655">
        <v>221</v>
      </c>
      <c r="C655" t="s">
        <v>152</v>
      </c>
      <c r="D655" t="str" cm="1">
        <f t="array" ref="D655">_xlfn.XLOOKUP(1,
    ('team lookup'!$C$3:$C$97 = B655) * ('team lookup'!$A$3:$A$97 &lt;= A655) * (IF('team lookup'!$B$3:$B$97 = "", 9999, 'team lookup'!$B$3:$B$97) &gt;= A655),
    'team lookup'!$E$3:$E$97,
    "Other"
)</f>
        <v>Big East</v>
      </c>
      <c r="E655">
        <f t="shared" si="20"/>
        <v>0</v>
      </c>
      <c r="F655">
        <f t="shared" si="21"/>
        <v>1</v>
      </c>
    </row>
    <row r="656" spans="1:6" x14ac:dyDescent="0.35">
      <c r="A656">
        <v>2009</v>
      </c>
      <c r="B656">
        <v>2502</v>
      </c>
      <c r="C656" t="s">
        <v>153</v>
      </c>
      <c r="D656" t="str" cm="1">
        <f t="array" ref="D656">_xlfn.XLOOKUP(1,
    ('team lookup'!$C$3:$C$97 = B656) * ('team lookup'!$A$3:$A$97 &lt;= A656) * (IF('team lookup'!$B$3:$B$97 = "", 9999, 'team lookup'!$B$3:$B$97) &gt;= A656),
    'team lookup'!$E$3:$E$97,
    "Other"
)</f>
        <v>Other</v>
      </c>
      <c r="E656">
        <f t="shared" si="20"/>
        <v>0</v>
      </c>
      <c r="F656">
        <f t="shared" si="21"/>
        <v>0</v>
      </c>
    </row>
    <row r="657" spans="1:6" x14ac:dyDescent="0.35">
      <c r="A657">
        <v>2009</v>
      </c>
      <c r="B657">
        <v>2509</v>
      </c>
      <c r="C657" t="s">
        <v>154</v>
      </c>
      <c r="D657" t="str" cm="1">
        <f t="array" ref="D657">_xlfn.XLOOKUP(1,
    ('team lookup'!$C$3:$C$97 = B657) * ('team lookup'!$A$3:$A$97 &lt;= A657) * (IF('team lookup'!$B$3:$B$97 = "", 9999, 'team lookup'!$B$3:$B$97) &gt;= A657),
    'team lookup'!$E$3:$E$97,
    "Other"
)</f>
        <v>Big Ten</v>
      </c>
      <c r="E657">
        <f t="shared" si="20"/>
        <v>0</v>
      </c>
      <c r="F657">
        <f t="shared" si="21"/>
        <v>1</v>
      </c>
    </row>
    <row r="658" spans="1:6" x14ac:dyDescent="0.35">
      <c r="A658">
        <v>2009</v>
      </c>
      <c r="B658">
        <v>2515</v>
      </c>
      <c r="C658" t="s">
        <v>180</v>
      </c>
      <c r="D658" t="str" cm="1">
        <f t="array" ref="D658">_xlfn.XLOOKUP(1,
    ('team lookup'!$C$3:$C$97 = B658) * ('team lookup'!$A$3:$A$97 &lt;= A658) * (IF('team lookup'!$B$3:$B$97 = "", 9999, 'team lookup'!$B$3:$B$97) &gt;= A658),
    'team lookup'!$E$3:$E$97,
    "Other"
)</f>
        <v>Other</v>
      </c>
      <c r="E658">
        <f t="shared" si="20"/>
        <v>0</v>
      </c>
      <c r="F658">
        <f t="shared" si="21"/>
        <v>0</v>
      </c>
    </row>
    <row r="659" spans="1:6" x14ac:dyDescent="0.35">
      <c r="A659">
        <v>2009</v>
      </c>
      <c r="B659">
        <v>2523</v>
      </c>
      <c r="C659" t="s">
        <v>181</v>
      </c>
      <c r="D659" t="str" cm="1">
        <f t="array" ref="D659">_xlfn.XLOOKUP(1,
    ('team lookup'!$C$3:$C$97 = B659) * ('team lookup'!$A$3:$A$97 &lt;= A659) * (IF('team lookup'!$B$3:$B$97 = "", 9999, 'team lookup'!$B$3:$B$97) &gt;= A659),
    'team lookup'!$E$3:$E$97,
    "Other"
)</f>
        <v>Other</v>
      </c>
      <c r="E659">
        <f t="shared" si="20"/>
        <v>0</v>
      </c>
      <c r="F659">
        <f t="shared" si="21"/>
        <v>0</v>
      </c>
    </row>
    <row r="660" spans="1:6" x14ac:dyDescent="0.35">
      <c r="A660">
        <v>2009</v>
      </c>
      <c r="B660">
        <v>2617</v>
      </c>
      <c r="C660" t="s">
        <v>182</v>
      </c>
      <c r="D660" t="str" cm="1">
        <f t="array" ref="D660">_xlfn.XLOOKUP(1,
    ('team lookup'!$C$3:$C$97 = B660) * ('team lookup'!$A$3:$A$97 &lt;= A660) * (IF('team lookup'!$B$3:$B$97 = "", 9999, 'team lookup'!$B$3:$B$97) &gt;= A660),
    'team lookup'!$E$3:$E$97,
    "Other"
)</f>
        <v>Other</v>
      </c>
      <c r="E660">
        <f t="shared" si="20"/>
        <v>0</v>
      </c>
      <c r="F660">
        <f t="shared" si="21"/>
        <v>0</v>
      </c>
    </row>
    <row r="661" spans="1:6" x14ac:dyDescent="0.35">
      <c r="A661">
        <v>2009</v>
      </c>
      <c r="B661">
        <v>2561</v>
      </c>
      <c r="C661" t="s">
        <v>158</v>
      </c>
      <c r="D661" t="str" cm="1">
        <f t="array" ref="D661">_xlfn.XLOOKUP(1,
    ('team lookup'!$C$3:$C$97 = B661) * ('team lookup'!$A$3:$A$97 &lt;= A661) * (IF('team lookup'!$B$3:$B$97 = "", 9999, 'team lookup'!$B$3:$B$97) &gt;= A661),
    'team lookup'!$E$3:$E$97,
    "Other"
)</f>
        <v>Other</v>
      </c>
      <c r="E661">
        <f t="shared" si="20"/>
        <v>0</v>
      </c>
      <c r="F661">
        <f t="shared" si="21"/>
        <v>0</v>
      </c>
    </row>
    <row r="662" spans="1:6" x14ac:dyDescent="0.35">
      <c r="A662">
        <v>2009</v>
      </c>
      <c r="B662">
        <v>183</v>
      </c>
      <c r="C662" t="s">
        <v>183</v>
      </c>
      <c r="D662" t="str" cm="1">
        <f t="array" ref="D662">_xlfn.XLOOKUP(1,
    ('team lookup'!$C$3:$C$97 = B662) * ('team lookup'!$A$3:$A$97 &lt;= A662) * (IF('team lookup'!$B$3:$B$97 = "", 9999, 'team lookup'!$B$3:$B$97) &gt;= A662),
    'team lookup'!$E$3:$E$97,
    "Other"
)</f>
        <v>Big East</v>
      </c>
      <c r="E662">
        <f t="shared" si="20"/>
        <v>0</v>
      </c>
      <c r="F662">
        <f t="shared" si="21"/>
        <v>1</v>
      </c>
    </row>
    <row r="663" spans="1:6" x14ac:dyDescent="0.35">
      <c r="A663">
        <v>2009</v>
      </c>
      <c r="B663">
        <v>218</v>
      </c>
      <c r="C663" t="s">
        <v>161</v>
      </c>
      <c r="D663" t="str" cm="1">
        <f t="array" ref="D663">_xlfn.XLOOKUP(1,
    ('team lookup'!$C$3:$C$97 = B663) * ('team lookup'!$A$3:$A$97 &lt;= A663) * (IF('team lookup'!$B$3:$B$97 = "", 9999, 'team lookup'!$B$3:$B$97) &gt;= A663),
    'team lookup'!$E$3:$E$97,
    "Other"
)</f>
        <v>Other</v>
      </c>
      <c r="E663">
        <f t="shared" si="20"/>
        <v>0</v>
      </c>
      <c r="F663">
        <f t="shared" si="21"/>
        <v>0</v>
      </c>
    </row>
    <row r="664" spans="1:6" x14ac:dyDescent="0.35">
      <c r="A664">
        <v>2009</v>
      </c>
      <c r="B664">
        <v>2633</v>
      </c>
      <c r="C664" t="s">
        <v>162</v>
      </c>
      <c r="D664" t="str" cm="1">
        <f t="array" ref="D664">_xlfn.XLOOKUP(1,
    ('team lookup'!$C$3:$C$97 = B664) * ('team lookup'!$A$3:$A$97 &lt;= A664) * (IF('team lookup'!$B$3:$B$97 = "", 9999, 'team lookup'!$B$3:$B$97) &gt;= A664),
    'team lookup'!$E$3:$E$97,
    "Other"
)</f>
        <v>SEC</v>
      </c>
      <c r="E664">
        <f t="shared" si="20"/>
        <v>1</v>
      </c>
      <c r="F664">
        <f t="shared" si="21"/>
        <v>1</v>
      </c>
    </row>
    <row r="665" spans="1:6" x14ac:dyDescent="0.35">
      <c r="A665">
        <v>2009</v>
      </c>
      <c r="B665">
        <v>251</v>
      </c>
      <c r="C665" t="s">
        <v>163</v>
      </c>
      <c r="D665" t="str" cm="1">
        <f t="array" ref="D665">_xlfn.XLOOKUP(1,
    ('team lookup'!$C$3:$C$97 = B665) * ('team lookup'!$A$3:$A$97 &lt;= A665) * (IF('team lookup'!$B$3:$B$97 = "", 9999, 'team lookup'!$B$3:$B$97) &gt;= A665),
    'team lookup'!$E$3:$E$97,
    "Other"
)</f>
        <v>Big12</v>
      </c>
      <c r="E665">
        <f t="shared" si="20"/>
        <v>1</v>
      </c>
      <c r="F665">
        <f t="shared" si="21"/>
        <v>1</v>
      </c>
    </row>
    <row r="666" spans="1:6" x14ac:dyDescent="0.35">
      <c r="A666">
        <v>2009</v>
      </c>
      <c r="B666">
        <v>245</v>
      </c>
      <c r="C666" t="s">
        <v>164</v>
      </c>
      <c r="D666" t="str" cm="1">
        <f t="array" ref="D666">_xlfn.XLOOKUP(1,
    ('team lookup'!$C$3:$C$97 = B666) * ('team lookup'!$A$3:$A$97 &lt;= A666) * (IF('team lookup'!$B$3:$B$97 = "", 9999, 'team lookup'!$B$3:$B$97) &gt;= A666),
    'team lookup'!$E$3:$E$97,
    "Other"
)</f>
        <v>Big12</v>
      </c>
      <c r="E666">
        <f t="shared" si="20"/>
        <v>1</v>
      </c>
      <c r="F666">
        <f t="shared" si="21"/>
        <v>1</v>
      </c>
    </row>
    <row r="667" spans="1:6" x14ac:dyDescent="0.35">
      <c r="A667">
        <v>2009</v>
      </c>
      <c r="B667">
        <v>26</v>
      </c>
      <c r="C667" t="s">
        <v>165</v>
      </c>
      <c r="D667" t="str" cm="1">
        <f t="array" ref="D667">_xlfn.XLOOKUP(1,
    ('team lookup'!$C$3:$C$97 = B667) * ('team lookup'!$A$3:$A$97 &lt;= A667) * (IF('team lookup'!$B$3:$B$97 = "", 9999, 'team lookup'!$B$3:$B$97) &gt;= A667),
    'team lookup'!$E$3:$E$97,
    "Other"
)</f>
        <v>Other</v>
      </c>
      <c r="E667">
        <f t="shared" si="20"/>
        <v>0</v>
      </c>
      <c r="F667">
        <f t="shared" si="21"/>
        <v>0</v>
      </c>
    </row>
    <row r="668" spans="1:6" x14ac:dyDescent="0.35">
      <c r="A668">
        <v>2009</v>
      </c>
      <c r="B668">
        <v>41</v>
      </c>
      <c r="C668" t="s">
        <v>166</v>
      </c>
      <c r="D668" t="str" cm="1">
        <f t="array" ref="D668">_xlfn.XLOOKUP(1,
    ('team lookup'!$C$3:$C$97 = B668) * ('team lookup'!$A$3:$A$97 &lt;= A668) * (IF('team lookup'!$B$3:$B$97 = "", 9999, 'team lookup'!$B$3:$B$97) &gt;= A668),
    'team lookup'!$E$3:$E$97,
    "Other"
)</f>
        <v>Big East</v>
      </c>
      <c r="E668">
        <f t="shared" si="20"/>
        <v>0</v>
      </c>
      <c r="F668">
        <f t="shared" si="21"/>
        <v>1</v>
      </c>
    </row>
    <row r="669" spans="1:6" x14ac:dyDescent="0.35">
      <c r="A669">
        <v>2009</v>
      </c>
      <c r="B669">
        <v>30</v>
      </c>
      <c r="C669" t="s">
        <v>169</v>
      </c>
      <c r="D669" t="str" cm="1">
        <f t="array" ref="D669">_xlfn.XLOOKUP(1,
    ('team lookup'!$C$3:$C$97 = B669) * ('team lookup'!$A$3:$A$97 &lt;= A669) * (IF('team lookup'!$B$3:$B$97 = "", 9999, 'team lookup'!$B$3:$B$97) &gt;= A669),
    'team lookup'!$E$3:$E$97,
    "Other"
)</f>
        <v>Other</v>
      </c>
      <c r="E669">
        <f t="shared" si="20"/>
        <v>0</v>
      </c>
      <c r="F669">
        <f t="shared" si="21"/>
        <v>0</v>
      </c>
    </row>
    <row r="670" spans="1:6" x14ac:dyDescent="0.35">
      <c r="A670">
        <v>2009</v>
      </c>
      <c r="B670">
        <v>254</v>
      </c>
      <c r="C670" t="s">
        <v>184</v>
      </c>
      <c r="D670" t="str" cm="1">
        <f t="array" ref="D670">_xlfn.XLOOKUP(1,
    ('team lookup'!$C$3:$C$97 = B670) * ('team lookup'!$A$3:$A$97 &lt;= A670) * (IF('team lookup'!$B$3:$B$97 = "", 9999, 'team lookup'!$B$3:$B$97) &gt;= A670),
    'team lookup'!$E$3:$E$97,
    "Other"
)</f>
        <v>Other</v>
      </c>
      <c r="E670">
        <f t="shared" si="20"/>
        <v>0</v>
      </c>
      <c r="F670">
        <f t="shared" si="21"/>
        <v>0</v>
      </c>
    </row>
    <row r="671" spans="1:6" x14ac:dyDescent="0.35">
      <c r="A671">
        <v>2009</v>
      </c>
      <c r="B671">
        <v>328</v>
      </c>
      <c r="C671" t="s">
        <v>185</v>
      </c>
      <c r="D671" t="str" cm="1">
        <f t="array" ref="D671">_xlfn.XLOOKUP(1,
    ('team lookup'!$C$3:$C$97 = B671) * ('team lookup'!$A$3:$A$97 &lt;= A671) * (IF('team lookup'!$B$3:$B$97 = "", 9999, 'team lookup'!$B$3:$B$97) &gt;= A671),
    'team lookup'!$E$3:$E$97,
    "Other"
)</f>
        <v>Other</v>
      </c>
      <c r="E671">
        <f t="shared" si="20"/>
        <v>0</v>
      </c>
      <c r="F671">
        <f t="shared" si="21"/>
        <v>0</v>
      </c>
    </row>
    <row r="672" spans="1:6" x14ac:dyDescent="0.35">
      <c r="A672">
        <v>2009</v>
      </c>
      <c r="B672">
        <v>2670</v>
      </c>
      <c r="C672" t="s">
        <v>186</v>
      </c>
      <c r="D672" t="str" cm="1">
        <f t="array" ref="D672">_xlfn.XLOOKUP(1,
    ('team lookup'!$C$3:$C$97 = B672) * ('team lookup'!$A$3:$A$97 &lt;= A672) * (IF('team lookup'!$B$3:$B$97 = "", 9999, 'team lookup'!$B$3:$B$97) &gt;= A672),
    'team lookup'!$E$3:$E$97,
    "Other"
)</f>
        <v>Other</v>
      </c>
      <c r="E672">
        <f t="shared" si="20"/>
        <v>0</v>
      </c>
      <c r="F672">
        <f t="shared" si="21"/>
        <v>0</v>
      </c>
    </row>
    <row r="673" spans="1:6" x14ac:dyDescent="0.35">
      <c r="A673">
        <v>2009</v>
      </c>
      <c r="B673">
        <v>222</v>
      </c>
      <c r="C673" t="s">
        <v>172</v>
      </c>
      <c r="D673" t="str" cm="1">
        <f t="array" ref="D673">_xlfn.XLOOKUP(1,
    ('team lookup'!$C$3:$C$97 = B673) * ('team lookup'!$A$3:$A$97 &lt;= A673) * (IF('team lookup'!$B$3:$B$97 = "", 9999, 'team lookup'!$B$3:$B$97) &gt;= A673),
    'team lookup'!$E$3:$E$97,
    "Other"
)</f>
        <v>Big East</v>
      </c>
      <c r="E673">
        <f t="shared" si="20"/>
        <v>0</v>
      </c>
      <c r="F673">
        <f t="shared" si="21"/>
        <v>1</v>
      </c>
    </row>
    <row r="674" spans="1:6" x14ac:dyDescent="0.35">
      <c r="A674">
        <v>2009</v>
      </c>
      <c r="B674">
        <v>154</v>
      </c>
      <c r="C674" t="s">
        <v>187</v>
      </c>
      <c r="D674" t="str" cm="1">
        <f t="array" ref="D674">_xlfn.XLOOKUP(1,
    ('team lookup'!$C$3:$C$97 = B674) * ('team lookup'!$A$3:$A$97 &lt;= A674) * (IF('team lookup'!$B$3:$B$97 = "", 9999, 'team lookup'!$B$3:$B$97) &gt;= A674),
    'team lookup'!$E$3:$E$97,
    "Other"
)</f>
        <v>ACC</v>
      </c>
      <c r="E674">
        <f t="shared" si="20"/>
        <v>1</v>
      </c>
      <c r="F674">
        <f t="shared" si="21"/>
        <v>1</v>
      </c>
    </row>
    <row r="675" spans="1:6" x14ac:dyDescent="0.35">
      <c r="A675">
        <v>2009</v>
      </c>
      <c r="B675">
        <v>264</v>
      </c>
      <c r="C675" t="s">
        <v>188</v>
      </c>
      <c r="D675" t="str" cm="1">
        <f t="array" ref="D675">_xlfn.XLOOKUP(1,
    ('team lookup'!$C$3:$C$97 = B675) * ('team lookup'!$A$3:$A$97 &lt;= A675) * (IF('team lookup'!$B$3:$B$97 = "", 9999, 'team lookup'!$B$3:$B$97) &gt;= A675),
    'team lookup'!$E$3:$E$97,
    "Other"
)</f>
        <v>Other</v>
      </c>
      <c r="E675">
        <f t="shared" si="20"/>
        <v>0</v>
      </c>
      <c r="F675">
        <f t="shared" si="21"/>
        <v>0</v>
      </c>
    </row>
    <row r="676" spans="1:6" x14ac:dyDescent="0.35">
      <c r="A676">
        <v>2009</v>
      </c>
      <c r="B676">
        <v>277</v>
      </c>
      <c r="C676" t="s">
        <v>174</v>
      </c>
      <c r="D676" t="str" cm="1">
        <f t="array" ref="D676">_xlfn.XLOOKUP(1,
    ('team lookup'!$C$3:$C$97 = B676) * ('team lookup'!$A$3:$A$97 &lt;= A676) * (IF('team lookup'!$B$3:$B$97 = "", 9999, 'team lookup'!$B$3:$B$97) &gt;= A676),
    'team lookup'!$E$3:$E$97,
    "Other"
)</f>
        <v>Big East</v>
      </c>
      <c r="E676">
        <f t="shared" si="20"/>
        <v>0</v>
      </c>
      <c r="F676">
        <f t="shared" si="21"/>
        <v>1</v>
      </c>
    </row>
    <row r="677" spans="1:6" x14ac:dyDescent="0.35">
      <c r="A677">
        <v>2009</v>
      </c>
      <c r="B677">
        <v>98</v>
      </c>
      <c r="C677" t="s">
        <v>175</v>
      </c>
      <c r="D677" t="str" cm="1">
        <f t="array" ref="D677">_xlfn.XLOOKUP(1,
    ('team lookup'!$C$3:$C$97 = B677) * ('team lookup'!$A$3:$A$97 &lt;= A677) * (IF('team lookup'!$B$3:$B$97 = "", 9999, 'team lookup'!$B$3:$B$97) &gt;= A677),
    'team lookup'!$E$3:$E$97,
    "Other"
)</f>
        <v>Other</v>
      </c>
      <c r="E677">
        <f t="shared" si="20"/>
        <v>0</v>
      </c>
      <c r="F677">
        <f t="shared" si="21"/>
        <v>0</v>
      </c>
    </row>
    <row r="678" spans="1:6" x14ac:dyDescent="0.35">
      <c r="A678">
        <v>2009</v>
      </c>
      <c r="B678">
        <v>275</v>
      </c>
      <c r="C678" t="s">
        <v>177</v>
      </c>
      <c r="D678" t="str" cm="1">
        <f t="array" ref="D678">_xlfn.XLOOKUP(1,
    ('team lookup'!$C$3:$C$97 = B678) * ('team lookup'!$A$3:$A$97 &lt;= A678) * (IF('team lookup'!$B$3:$B$97 = "", 9999, 'team lookup'!$B$3:$B$97) &gt;= A678),
    'team lookup'!$E$3:$E$97,
    "Other"
)</f>
        <v>Big Ten</v>
      </c>
      <c r="E678">
        <f t="shared" si="20"/>
        <v>0</v>
      </c>
      <c r="F678">
        <f t="shared" si="21"/>
        <v>1</v>
      </c>
    </row>
    <row r="679" spans="1:6" x14ac:dyDescent="0.35">
      <c r="A679">
        <v>2009</v>
      </c>
      <c r="B679">
        <v>2752</v>
      </c>
      <c r="C679" t="s">
        <v>178</v>
      </c>
      <c r="D679" t="str" cm="1">
        <f t="array" ref="D679">_xlfn.XLOOKUP(1,
    ('team lookup'!$C$3:$C$97 = B679) * ('team lookup'!$A$3:$A$97 &lt;= A679) * (IF('team lookup'!$B$3:$B$97 = "", 9999, 'team lookup'!$B$3:$B$97) &gt;= A679),
    'team lookup'!$E$3:$E$97,
    "Other"
)</f>
        <v>Other</v>
      </c>
      <c r="E679">
        <f t="shared" si="20"/>
        <v>0</v>
      </c>
      <c r="F679">
        <f t="shared" si="21"/>
        <v>0</v>
      </c>
    </row>
    <row r="680" spans="1:6" x14ac:dyDescent="0.35">
      <c r="A680">
        <v>2010</v>
      </c>
      <c r="B680">
        <v>2473</v>
      </c>
      <c r="C680" t="s">
        <v>76</v>
      </c>
      <c r="D680" t="str" cm="1">
        <f t="array" ref="D680">_xlfn.XLOOKUP(1,
    ('team lookup'!$C$3:$C$97 = B680) * ('team lookup'!$A$3:$A$97 &lt;= A680) * (IF('team lookup'!$B$3:$B$97 = "", 9999, 'team lookup'!$B$3:$B$97) &gt;= A680),
    'team lookup'!$E$3:$E$97,
    "Other"
)</f>
        <v>Other</v>
      </c>
      <c r="E680">
        <f t="shared" si="20"/>
        <v>0</v>
      </c>
      <c r="F680">
        <f t="shared" si="21"/>
        <v>0</v>
      </c>
    </row>
    <row r="681" spans="1:6" x14ac:dyDescent="0.35">
      <c r="A681">
        <v>2010</v>
      </c>
      <c r="B681">
        <v>195</v>
      </c>
      <c r="C681" t="s">
        <v>189</v>
      </c>
      <c r="D681" t="str" cm="1">
        <f t="array" ref="D681">_xlfn.XLOOKUP(1,
    ('team lookup'!$C$3:$C$97 = B681) * ('team lookup'!$A$3:$A$97 &lt;= A681) * (IF('team lookup'!$B$3:$B$97 = "", 9999, 'team lookup'!$B$3:$B$97) &gt;= A681),
    'team lookup'!$E$3:$E$97,
    "Other"
)</f>
        <v>Other</v>
      </c>
      <c r="E681">
        <f t="shared" si="20"/>
        <v>0</v>
      </c>
      <c r="F681">
        <f t="shared" si="21"/>
        <v>0</v>
      </c>
    </row>
    <row r="682" spans="1:6" x14ac:dyDescent="0.35">
      <c r="A682">
        <v>2010</v>
      </c>
      <c r="B682">
        <v>194</v>
      </c>
      <c r="C682" t="s">
        <v>77</v>
      </c>
      <c r="D682" t="str" cm="1">
        <f t="array" ref="D682">_xlfn.XLOOKUP(1,
    ('team lookup'!$C$3:$C$97 = B682) * ('team lookup'!$A$3:$A$97 &lt;= A682) * (IF('team lookup'!$B$3:$B$97 = "", 9999, 'team lookup'!$B$3:$B$97) &gt;= A682),
    'team lookup'!$E$3:$E$97,
    "Other"
)</f>
        <v>Big Ten</v>
      </c>
      <c r="E682">
        <f t="shared" si="20"/>
        <v>0</v>
      </c>
      <c r="F682">
        <f t="shared" si="21"/>
        <v>1</v>
      </c>
    </row>
    <row r="683" spans="1:6" x14ac:dyDescent="0.35">
      <c r="A683">
        <v>2010</v>
      </c>
      <c r="B683">
        <v>197</v>
      </c>
      <c r="C683" t="s">
        <v>179</v>
      </c>
      <c r="D683" t="str" cm="1">
        <f t="array" ref="D683">_xlfn.XLOOKUP(1,
    ('team lookup'!$C$3:$C$97 = B683) * ('team lookup'!$A$3:$A$97 &lt;= A683) * (IF('team lookup'!$B$3:$B$97 = "", 9999, 'team lookup'!$B$3:$B$97) &gt;= A683),
    'team lookup'!$E$3:$E$97,
    "Other"
)</f>
        <v>Big12</v>
      </c>
      <c r="E683">
        <f t="shared" si="20"/>
        <v>1</v>
      </c>
      <c r="F683">
        <f t="shared" si="21"/>
        <v>1</v>
      </c>
    </row>
    <row r="684" spans="1:6" x14ac:dyDescent="0.35">
      <c r="A684">
        <v>2010</v>
      </c>
      <c r="B684">
        <v>295</v>
      </c>
      <c r="C684" t="s">
        <v>78</v>
      </c>
      <c r="D684" t="str" cm="1">
        <f t="array" ref="D684">_xlfn.XLOOKUP(1,
    ('team lookup'!$C$3:$C$97 = B684) * ('team lookup'!$A$3:$A$97 &lt;= A684) * (IF('team lookup'!$B$3:$B$97 = "", 9999, 'team lookup'!$B$3:$B$97) &gt;= A684),
    'team lookup'!$E$3:$E$97,
    "Other"
)</f>
        <v>Other</v>
      </c>
      <c r="E684">
        <f t="shared" si="20"/>
        <v>0</v>
      </c>
      <c r="F684">
        <f t="shared" si="21"/>
        <v>0</v>
      </c>
    </row>
    <row r="685" spans="1:6" x14ac:dyDescent="0.35">
      <c r="A685">
        <v>2010</v>
      </c>
      <c r="B685">
        <v>221</v>
      </c>
      <c r="C685" t="s">
        <v>152</v>
      </c>
      <c r="D685" t="str" cm="1">
        <f t="array" ref="D685">_xlfn.XLOOKUP(1,
    ('team lookup'!$C$3:$C$97 = B685) * ('team lookup'!$A$3:$A$97 &lt;= A685) * (IF('team lookup'!$B$3:$B$97 = "", 9999, 'team lookup'!$B$3:$B$97) &gt;= A685),
    'team lookup'!$E$3:$E$97,
    "Other"
)</f>
        <v>Big East</v>
      </c>
      <c r="E685">
        <f t="shared" si="20"/>
        <v>0</v>
      </c>
      <c r="F685">
        <f t="shared" si="21"/>
        <v>1</v>
      </c>
    </row>
    <row r="686" spans="1:6" x14ac:dyDescent="0.35">
      <c r="A686">
        <v>2010</v>
      </c>
      <c r="B686">
        <v>2509</v>
      </c>
      <c r="C686" t="s">
        <v>154</v>
      </c>
      <c r="D686" t="str" cm="1">
        <f t="array" ref="D686">_xlfn.XLOOKUP(1,
    ('team lookup'!$C$3:$C$97 = B686) * ('team lookup'!$A$3:$A$97 &lt;= A686) * (IF('team lookup'!$B$3:$B$97 = "", 9999, 'team lookup'!$B$3:$B$97) &gt;= A686),
    'team lookup'!$E$3:$E$97,
    "Other"
)</f>
        <v>Big Ten</v>
      </c>
      <c r="E686">
        <f t="shared" si="20"/>
        <v>0</v>
      </c>
      <c r="F686">
        <f t="shared" si="21"/>
        <v>1</v>
      </c>
    </row>
    <row r="687" spans="1:6" x14ac:dyDescent="0.35">
      <c r="A687">
        <v>2010</v>
      </c>
      <c r="B687">
        <v>257</v>
      </c>
      <c r="C687" t="s">
        <v>190</v>
      </c>
      <c r="D687" t="str" cm="1">
        <f t="array" ref="D687">_xlfn.XLOOKUP(1,
    ('team lookup'!$C$3:$C$97 = B687) * ('team lookup'!$A$3:$A$97 &lt;= A687) * (IF('team lookup'!$B$3:$B$97 = "", 9999, 'team lookup'!$B$3:$B$97) &gt;= A687),
    'team lookup'!$E$3:$E$97,
    "Other"
)</f>
        <v>Other</v>
      </c>
      <c r="E687">
        <f t="shared" si="20"/>
        <v>0</v>
      </c>
      <c r="F687">
        <f t="shared" si="21"/>
        <v>0</v>
      </c>
    </row>
    <row r="688" spans="1:6" x14ac:dyDescent="0.35">
      <c r="A688">
        <v>2010</v>
      </c>
      <c r="B688">
        <v>2523</v>
      </c>
      <c r="C688" t="s">
        <v>181</v>
      </c>
      <c r="D688" t="str" cm="1">
        <f t="array" ref="D688">_xlfn.XLOOKUP(1,
    ('team lookup'!$C$3:$C$97 = B688) * ('team lookup'!$A$3:$A$97 &lt;= A688) * (IF('team lookup'!$B$3:$B$97 = "", 9999, 'team lookup'!$B$3:$B$97) &gt;= A688),
    'team lookup'!$E$3:$E$97,
    "Other"
)</f>
        <v>Other</v>
      </c>
      <c r="E688">
        <f t="shared" si="20"/>
        <v>0</v>
      </c>
      <c r="F688">
        <f t="shared" si="21"/>
        <v>0</v>
      </c>
    </row>
    <row r="689" spans="1:6" x14ac:dyDescent="0.35">
      <c r="A689">
        <v>2010</v>
      </c>
      <c r="B689">
        <v>2608</v>
      </c>
      <c r="C689" t="s">
        <v>156</v>
      </c>
      <c r="D689" t="str" cm="1">
        <f t="array" ref="D689">_xlfn.XLOOKUP(1,
    ('team lookup'!$C$3:$C$97 = B689) * ('team lookup'!$A$3:$A$97 &lt;= A689) * (IF('team lookup'!$B$3:$B$97 = "", 9999, 'team lookup'!$B$3:$B$97) &gt;= A689),
    'team lookup'!$E$3:$E$97,
    "Other"
)</f>
        <v>Other</v>
      </c>
      <c r="E689">
        <f t="shared" si="20"/>
        <v>0</v>
      </c>
      <c r="F689">
        <f t="shared" si="21"/>
        <v>0</v>
      </c>
    </row>
    <row r="690" spans="1:6" x14ac:dyDescent="0.35">
      <c r="A690">
        <v>2010</v>
      </c>
      <c r="B690">
        <v>2534</v>
      </c>
      <c r="C690" t="s">
        <v>191</v>
      </c>
      <c r="D690" t="str" cm="1">
        <f t="array" ref="D690">_xlfn.XLOOKUP(1,
    ('team lookup'!$C$3:$C$97 = B690) * ('team lookup'!$A$3:$A$97 &lt;= A690) * (IF('team lookup'!$B$3:$B$97 = "", 9999, 'team lookup'!$B$3:$B$97) &gt;= A690),
    'team lookup'!$E$3:$E$97,
    "Other"
)</f>
        <v>Other</v>
      </c>
      <c r="E690">
        <f t="shared" si="20"/>
        <v>0</v>
      </c>
      <c r="F690">
        <f t="shared" si="21"/>
        <v>0</v>
      </c>
    </row>
    <row r="691" spans="1:6" x14ac:dyDescent="0.35">
      <c r="A691">
        <v>2010</v>
      </c>
      <c r="B691">
        <v>21</v>
      </c>
      <c r="C691" t="s">
        <v>192</v>
      </c>
      <c r="D691" t="str" cm="1">
        <f t="array" ref="D691">_xlfn.XLOOKUP(1,
    ('team lookup'!$C$3:$C$97 = B691) * ('team lookup'!$A$3:$A$97 &lt;= A691) * (IF('team lookup'!$B$3:$B$97 = "", 9999, 'team lookup'!$B$3:$B$97) &gt;= A691),
    'team lookup'!$E$3:$E$97,
    "Other"
)</f>
        <v>Other</v>
      </c>
      <c r="E691">
        <f t="shared" si="20"/>
        <v>0</v>
      </c>
      <c r="F691">
        <f t="shared" si="21"/>
        <v>0</v>
      </c>
    </row>
    <row r="692" spans="1:6" x14ac:dyDescent="0.35">
      <c r="A692">
        <v>2010</v>
      </c>
      <c r="B692">
        <v>2561</v>
      </c>
      <c r="C692" t="s">
        <v>158</v>
      </c>
      <c r="D692" t="str" cm="1">
        <f t="array" ref="D692">_xlfn.XLOOKUP(1,
    ('team lookup'!$C$3:$C$97 = B692) * ('team lookup'!$A$3:$A$97 &lt;= A692) * (IF('team lookup'!$B$3:$B$97 = "", 9999, 'team lookup'!$B$3:$B$97) &gt;= A692),
    'team lookup'!$E$3:$E$97,
    "Other"
)</f>
        <v>Other</v>
      </c>
      <c r="E692">
        <f t="shared" si="20"/>
        <v>0</v>
      </c>
      <c r="F692">
        <f t="shared" si="21"/>
        <v>0</v>
      </c>
    </row>
    <row r="693" spans="1:6" x14ac:dyDescent="0.35">
      <c r="A693">
        <v>2010</v>
      </c>
      <c r="B693">
        <v>183</v>
      </c>
      <c r="C693" t="s">
        <v>183</v>
      </c>
      <c r="D693" t="str" cm="1">
        <f t="array" ref="D693">_xlfn.XLOOKUP(1,
    ('team lookup'!$C$3:$C$97 = B693) * ('team lookup'!$A$3:$A$97 &lt;= A693) * (IF('team lookup'!$B$3:$B$97 = "", 9999, 'team lookup'!$B$3:$B$97) &gt;= A693),
    'team lookup'!$E$3:$E$97,
    "Other"
)</f>
        <v>Big East</v>
      </c>
      <c r="E693">
        <f t="shared" si="20"/>
        <v>0</v>
      </c>
      <c r="F693">
        <f t="shared" si="21"/>
        <v>1</v>
      </c>
    </row>
    <row r="694" spans="1:6" x14ac:dyDescent="0.35">
      <c r="A694">
        <v>2010</v>
      </c>
      <c r="B694">
        <v>218</v>
      </c>
      <c r="C694" t="s">
        <v>161</v>
      </c>
      <c r="D694" t="str" cm="1">
        <f t="array" ref="D694">_xlfn.XLOOKUP(1,
    ('team lookup'!$C$3:$C$97 = B694) * ('team lookup'!$A$3:$A$97 &lt;= A694) * (IF('team lookup'!$B$3:$B$97 = "", 9999, 'team lookup'!$B$3:$B$97) &gt;= A694),
    'team lookup'!$E$3:$E$97,
    "Other"
)</f>
        <v>Other</v>
      </c>
      <c r="E694">
        <f t="shared" si="20"/>
        <v>0</v>
      </c>
      <c r="F694">
        <f t="shared" si="21"/>
        <v>0</v>
      </c>
    </row>
    <row r="695" spans="1:6" x14ac:dyDescent="0.35">
      <c r="A695">
        <v>2010</v>
      </c>
      <c r="B695">
        <v>2633</v>
      </c>
      <c r="C695" t="s">
        <v>162</v>
      </c>
      <c r="D695" t="str" cm="1">
        <f t="array" ref="D695">_xlfn.XLOOKUP(1,
    ('team lookup'!$C$3:$C$97 = B695) * ('team lookup'!$A$3:$A$97 &lt;= A695) * (IF('team lookup'!$B$3:$B$97 = "", 9999, 'team lookup'!$B$3:$B$97) &gt;= A695),
    'team lookup'!$E$3:$E$97,
    "Other"
)</f>
        <v>SEC</v>
      </c>
      <c r="E695">
        <f t="shared" si="20"/>
        <v>1</v>
      </c>
      <c r="F695">
        <f t="shared" si="21"/>
        <v>1</v>
      </c>
    </row>
    <row r="696" spans="1:6" x14ac:dyDescent="0.35">
      <c r="A696">
        <v>2010</v>
      </c>
      <c r="B696">
        <v>251</v>
      </c>
      <c r="C696" t="s">
        <v>163</v>
      </c>
      <c r="D696" t="str" cm="1">
        <f t="array" ref="D696">_xlfn.XLOOKUP(1,
    ('team lookup'!$C$3:$C$97 = B696) * ('team lookup'!$A$3:$A$97 &lt;= A696) * (IF('team lookup'!$B$3:$B$97 = "", 9999, 'team lookup'!$B$3:$B$97) &gt;= A696),
    'team lookup'!$E$3:$E$97,
    "Other"
)</f>
        <v>Big12</v>
      </c>
      <c r="E696">
        <f t="shared" si="20"/>
        <v>1</v>
      </c>
      <c r="F696">
        <f t="shared" si="21"/>
        <v>1</v>
      </c>
    </row>
    <row r="697" spans="1:6" x14ac:dyDescent="0.35">
      <c r="A697">
        <v>2010</v>
      </c>
      <c r="B697">
        <v>245</v>
      </c>
      <c r="C697" t="s">
        <v>164</v>
      </c>
      <c r="D697" t="str" cm="1">
        <f t="array" ref="D697">_xlfn.XLOOKUP(1,
    ('team lookup'!$C$3:$C$97 = B697) * ('team lookup'!$A$3:$A$97 &lt;= A697) * (IF('team lookup'!$B$3:$B$97 = "", 9999, 'team lookup'!$B$3:$B$97) &gt;= A697),
    'team lookup'!$E$3:$E$97,
    "Other"
)</f>
        <v>Big12</v>
      </c>
      <c r="E697">
        <f t="shared" si="20"/>
        <v>1</v>
      </c>
      <c r="F697">
        <f t="shared" si="21"/>
        <v>1</v>
      </c>
    </row>
    <row r="698" spans="1:6" x14ac:dyDescent="0.35">
      <c r="A698">
        <v>2010</v>
      </c>
      <c r="B698">
        <v>2540</v>
      </c>
      <c r="C698" t="s">
        <v>193</v>
      </c>
      <c r="D698" t="str" cm="1">
        <f t="array" ref="D698">_xlfn.XLOOKUP(1,
    ('team lookup'!$C$3:$C$97 = B698) * ('team lookup'!$A$3:$A$97 &lt;= A698) * (IF('team lookup'!$B$3:$B$97 = "", 9999, 'team lookup'!$B$3:$B$97) &gt;= A698),
    'team lookup'!$E$3:$E$97,
    "Other"
)</f>
        <v>Other</v>
      </c>
      <c r="E698">
        <f t="shared" si="20"/>
        <v>0</v>
      </c>
      <c r="F698">
        <f t="shared" si="21"/>
        <v>0</v>
      </c>
    </row>
    <row r="699" spans="1:6" x14ac:dyDescent="0.35">
      <c r="A699">
        <v>2010</v>
      </c>
      <c r="B699">
        <v>2439</v>
      </c>
      <c r="C699" t="s">
        <v>168</v>
      </c>
      <c r="D699" t="str" cm="1">
        <f t="array" ref="D699">_xlfn.XLOOKUP(1,
    ('team lookup'!$C$3:$C$97 = B699) * ('team lookup'!$A$3:$A$97 &lt;= A699) * (IF('team lookup'!$B$3:$B$97 = "", 9999, 'team lookup'!$B$3:$B$97) &gt;= A699),
    'team lookup'!$E$3:$E$97,
    "Other"
)</f>
        <v>Other</v>
      </c>
      <c r="E699">
        <f t="shared" si="20"/>
        <v>0</v>
      </c>
      <c r="F699">
        <f t="shared" si="21"/>
        <v>0</v>
      </c>
    </row>
    <row r="700" spans="1:6" x14ac:dyDescent="0.35">
      <c r="A700">
        <v>2010</v>
      </c>
      <c r="B700">
        <v>328</v>
      </c>
      <c r="C700" t="s">
        <v>185</v>
      </c>
      <c r="D700" t="str" cm="1">
        <f t="array" ref="D700">_xlfn.XLOOKUP(1,
    ('team lookup'!$C$3:$C$97 = B700) * ('team lookup'!$A$3:$A$97 &lt;= A700) * (IF('team lookup'!$B$3:$B$97 = "", 9999, 'team lookup'!$B$3:$B$97) &gt;= A700),
    'team lookup'!$E$3:$E$97,
    "Other"
)</f>
        <v>Other</v>
      </c>
      <c r="E700">
        <f t="shared" si="20"/>
        <v>0</v>
      </c>
      <c r="F700">
        <f t="shared" si="21"/>
        <v>0</v>
      </c>
    </row>
    <row r="701" spans="1:6" x14ac:dyDescent="0.35">
      <c r="A701">
        <v>2010</v>
      </c>
      <c r="B701">
        <v>2638</v>
      </c>
      <c r="C701" t="s">
        <v>194</v>
      </c>
      <c r="D701" t="str" cm="1">
        <f t="array" ref="D701">_xlfn.XLOOKUP(1,
    ('team lookup'!$C$3:$C$97 = B701) * ('team lookup'!$A$3:$A$97 &lt;= A701) * (IF('team lookup'!$B$3:$B$97 = "", 9999, 'team lookup'!$B$3:$B$97) &gt;= A701),
    'team lookup'!$E$3:$E$97,
    "Other"
)</f>
        <v>Other</v>
      </c>
      <c r="E701">
        <f t="shared" si="20"/>
        <v>0</v>
      </c>
      <c r="F701">
        <f t="shared" si="21"/>
        <v>0</v>
      </c>
    </row>
    <row r="702" spans="1:6" x14ac:dyDescent="0.35">
      <c r="A702">
        <v>2010</v>
      </c>
      <c r="B702">
        <v>238</v>
      </c>
      <c r="C702" t="s">
        <v>171</v>
      </c>
      <c r="D702" t="str" cm="1">
        <f t="array" ref="D702">_xlfn.XLOOKUP(1,
    ('team lookup'!$C$3:$C$97 = B702) * ('team lookup'!$A$3:$A$97 &lt;= A702) * (IF('team lookup'!$B$3:$B$97 = "", 9999, 'team lookup'!$B$3:$B$97) &gt;= A702),
    'team lookup'!$E$3:$E$97,
    "Other"
)</f>
        <v>SEC</v>
      </c>
      <c r="E702">
        <f t="shared" si="20"/>
        <v>1</v>
      </c>
      <c r="F702">
        <f t="shared" si="21"/>
        <v>1</v>
      </c>
    </row>
    <row r="703" spans="1:6" x14ac:dyDescent="0.35">
      <c r="A703">
        <v>2010</v>
      </c>
      <c r="B703">
        <v>261</v>
      </c>
      <c r="C703" t="s">
        <v>195</v>
      </c>
      <c r="D703" t="str" cm="1">
        <f t="array" ref="D703">_xlfn.XLOOKUP(1,
    ('team lookup'!$C$3:$C$97 = B703) * ('team lookup'!$A$3:$A$97 &lt;= A703) * (IF('team lookup'!$B$3:$B$97 = "", 9999, 'team lookup'!$B$3:$B$97) &gt;= A703),
    'team lookup'!$E$3:$E$97,
    "Other"
)</f>
        <v>Other</v>
      </c>
      <c r="E703">
        <f t="shared" si="20"/>
        <v>0</v>
      </c>
      <c r="F703">
        <f t="shared" si="21"/>
        <v>0</v>
      </c>
    </row>
    <row r="704" spans="1:6" x14ac:dyDescent="0.35">
      <c r="A704">
        <v>2010</v>
      </c>
      <c r="B704">
        <v>222</v>
      </c>
      <c r="C704" t="s">
        <v>172</v>
      </c>
      <c r="D704" t="str" cm="1">
        <f t="array" ref="D704">_xlfn.XLOOKUP(1,
    ('team lookup'!$C$3:$C$97 = B704) * ('team lookup'!$A$3:$A$97 &lt;= A704) * (IF('team lookup'!$B$3:$B$97 = "", 9999, 'team lookup'!$B$3:$B$97) &gt;= A704),
    'team lookup'!$E$3:$E$97,
    "Other"
)</f>
        <v>Big East</v>
      </c>
      <c r="E704">
        <f t="shared" si="20"/>
        <v>0</v>
      </c>
      <c r="F704">
        <f t="shared" si="21"/>
        <v>1</v>
      </c>
    </row>
    <row r="705" spans="1:6" x14ac:dyDescent="0.35">
      <c r="A705">
        <v>2010</v>
      </c>
      <c r="B705">
        <v>154</v>
      </c>
      <c r="C705" t="s">
        <v>187</v>
      </c>
      <c r="D705" t="str" cm="1">
        <f t="array" ref="D705">_xlfn.XLOOKUP(1,
    ('team lookup'!$C$3:$C$97 = B705) * ('team lookup'!$A$3:$A$97 &lt;= A705) * (IF('team lookup'!$B$3:$B$97 = "", 9999, 'team lookup'!$B$3:$B$97) &gt;= A705),
    'team lookup'!$E$3:$E$97,
    "Other"
)</f>
        <v>ACC</v>
      </c>
      <c r="E705">
        <f t="shared" si="20"/>
        <v>1</v>
      </c>
      <c r="F705">
        <f t="shared" si="21"/>
        <v>1</v>
      </c>
    </row>
    <row r="706" spans="1:6" x14ac:dyDescent="0.35">
      <c r="A706">
        <v>2010</v>
      </c>
      <c r="B706">
        <v>264</v>
      </c>
      <c r="C706" t="s">
        <v>188</v>
      </c>
      <c r="D706" t="str" cm="1">
        <f t="array" ref="D706">_xlfn.XLOOKUP(1,
    ('team lookup'!$C$3:$C$97 = B706) * ('team lookup'!$A$3:$A$97 &lt;= A706) * (IF('team lookup'!$B$3:$B$97 = "", 9999, 'team lookup'!$B$3:$B$97) &gt;= A706),
    'team lookup'!$E$3:$E$97,
    "Other"
)</f>
        <v>Other</v>
      </c>
      <c r="E706">
        <f t="shared" si="20"/>
        <v>0</v>
      </c>
      <c r="F706">
        <f t="shared" si="21"/>
        <v>0</v>
      </c>
    </row>
    <row r="707" spans="1:6" x14ac:dyDescent="0.35">
      <c r="A707">
        <v>2010</v>
      </c>
      <c r="B707">
        <v>277</v>
      </c>
      <c r="C707" t="s">
        <v>174</v>
      </c>
      <c r="D707" t="str" cm="1">
        <f t="array" ref="D707">_xlfn.XLOOKUP(1,
    ('team lookup'!$C$3:$C$97 = B707) * ('team lookup'!$A$3:$A$97 &lt;= A707) * (IF('team lookup'!$B$3:$B$97 = "", 9999, 'team lookup'!$B$3:$B$97) &gt;= A707),
    'team lookup'!$E$3:$E$97,
    "Other"
)</f>
        <v>Big East</v>
      </c>
      <c r="E707">
        <f t="shared" ref="E707:E770" si="22">IF(OR(D707="ACC", D707="SEC", D707="Big12"), 1,0)</f>
        <v>0</v>
      </c>
      <c r="F707">
        <f t="shared" ref="F707:F770" si="23">IF(D707&lt;&gt;"Other", 1,0)</f>
        <v>1</v>
      </c>
    </row>
    <row r="708" spans="1:6" x14ac:dyDescent="0.35">
      <c r="A708">
        <v>2010</v>
      </c>
      <c r="B708">
        <v>2737</v>
      </c>
      <c r="C708" t="s">
        <v>176</v>
      </c>
      <c r="D708" t="str" cm="1">
        <f t="array" ref="D708">_xlfn.XLOOKUP(1,
    ('team lookup'!$C$3:$C$97 = B708) * ('team lookup'!$A$3:$A$97 &lt;= A708) * (IF('team lookup'!$B$3:$B$97 = "", 9999, 'team lookup'!$B$3:$B$97) &gt;= A708),
    'team lookup'!$E$3:$E$97,
    "Other"
)</f>
        <v>Other</v>
      </c>
      <c r="E708">
        <f t="shared" si="22"/>
        <v>0</v>
      </c>
      <c r="F708">
        <f t="shared" si="23"/>
        <v>0</v>
      </c>
    </row>
    <row r="709" spans="1:6" x14ac:dyDescent="0.35">
      <c r="A709">
        <v>2010</v>
      </c>
      <c r="B709">
        <v>275</v>
      </c>
      <c r="C709" t="s">
        <v>177</v>
      </c>
      <c r="D709" t="str" cm="1">
        <f t="array" ref="D709">_xlfn.XLOOKUP(1,
    ('team lookup'!$C$3:$C$97 = B709) * ('team lookup'!$A$3:$A$97 &lt;= A709) * (IF('team lookup'!$B$3:$B$97 = "", 9999, 'team lookup'!$B$3:$B$97) &gt;= A709),
    'team lookup'!$E$3:$E$97,
    "Other"
)</f>
        <v>Big Ten</v>
      </c>
      <c r="E709">
        <f t="shared" si="22"/>
        <v>0</v>
      </c>
      <c r="F709">
        <f t="shared" si="23"/>
        <v>1</v>
      </c>
    </row>
    <row r="710" spans="1:6" x14ac:dyDescent="0.35">
      <c r="A710">
        <v>2010</v>
      </c>
      <c r="B710">
        <v>2747</v>
      </c>
      <c r="C710" t="s">
        <v>196</v>
      </c>
      <c r="D710" t="str" cm="1">
        <f t="array" ref="D710">_xlfn.XLOOKUP(1,
    ('team lookup'!$C$3:$C$97 = B710) * ('team lookup'!$A$3:$A$97 &lt;= A710) * (IF('team lookup'!$B$3:$B$97 = "", 9999, 'team lookup'!$B$3:$B$97) &gt;= A710),
    'team lookup'!$E$3:$E$97,
    "Other"
)</f>
        <v>Other</v>
      </c>
      <c r="E710">
        <f t="shared" si="22"/>
        <v>0</v>
      </c>
      <c r="F710">
        <f t="shared" si="23"/>
        <v>0</v>
      </c>
    </row>
    <row r="711" spans="1:6" x14ac:dyDescent="0.35">
      <c r="A711">
        <v>2010</v>
      </c>
      <c r="B711">
        <v>2752</v>
      </c>
      <c r="C711" t="s">
        <v>178</v>
      </c>
      <c r="D711" t="str" cm="1">
        <f t="array" ref="D711">_xlfn.XLOOKUP(1,
    ('team lookup'!$C$3:$C$97 = B711) * ('team lookup'!$A$3:$A$97 &lt;= A711) * (IF('team lookup'!$B$3:$B$97 = "", 9999, 'team lookup'!$B$3:$B$97) &gt;= A711),
    'team lookup'!$E$3:$E$97,
    "Other"
)</f>
        <v>Other</v>
      </c>
      <c r="E711">
        <f t="shared" si="22"/>
        <v>0</v>
      </c>
      <c r="F711">
        <f t="shared" si="23"/>
        <v>0</v>
      </c>
    </row>
    <row r="712" spans="1:6" x14ac:dyDescent="0.35">
      <c r="A712">
        <v>2011</v>
      </c>
      <c r="B712">
        <v>213</v>
      </c>
      <c r="C712" t="s">
        <v>197</v>
      </c>
      <c r="D712" t="str" cm="1">
        <f t="array" ref="D712">_xlfn.XLOOKUP(1,
    ('team lookup'!$C$3:$C$97 = B712) * ('team lookup'!$A$3:$A$97 &lt;= A712) * (IF('team lookup'!$B$3:$B$97 = "", 9999, 'team lookup'!$B$3:$B$97) &gt;= A712),
    'team lookup'!$E$3:$E$97,
    "Other"
)</f>
        <v>Big Ten</v>
      </c>
      <c r="E712">
        <f t="shared" si="22"/>
        <v>0</v>
      </c>
      <c r="F712">
        <f t="shared" si="23"/>
        <v>1</v>
      </c>
    </row>
    <row r="713" spans="1:6" x14ac:dyDescent="0.35">
      <c r="A713">
        <v>2011</v>
      </c>
      <c r="B713">
        <v>221</v>
      </c>
      <c r="C713" t="s">
        <v>152</v>
      </c>
      <c r="D713" t="str" cm="1">
        <f t="array" ref="D713">_xlfn.XLOOKUP(1,
    ('team lookup'!$C$3:$C$97 = B713) * ('team lookup'!$A$3:$A$97 &lt;= A713) * (IF('team lookup'!$B$3:$B$97 = "", 9999, 'team lookup'!$B$3:$B$97) &gt;= A713),
    'team lookup'!$E$3:$E$97,
    "Other"
)</f>
        <v>Big East</v>
      </c>
      <c r="E713">
        <f t="shared" si="22"/>
        <v>0</v>
      </c>
      <c r="F713">
        <f t="shared" si="23"/>
        <v>1</v>
      </c>
    </row>
    <row r="714" spans="1:6" x14ac:dyDescent="0.35">
      <c r="A714">
        <v>2011</v>
      </c>
      <c r="B714">
        <v>163</v>
      </c>
      <c r="C714" t="s">
        <v>198</v>
      </c>
      <c r="D714" t="str" cm="1">
        <f t="array" ref="D714">_xlfn.XLOOKUP(1,
    ('team lookup'!$C$3:$C$97 = B714) * ('team lookup'!$A$3:$A$97 &lt;= A714) * (IF('team lookup'!$B$3:$B$97 = "", 9999, 'team lookup'!$B$3:$B$97) &gt;= A714),
    'team lookup'!$E$3:$E$97,
    "Other"
)</f>
        <v>Other</v>
      </c>
      <c r="E714">
        <f t="shared" si="22"/>
        <v>0</v>
      </c>
      <c r="F714">
        <f t="shared" si="23"/>
        <v>0</v>
      </c>
    </row>
    <row r="715" spans="1:6" x14ac:dyDescent="0.35">
      <c r="A715">
        <v>2011</v>
      </c>
      <c r="B715">
        <v>2509</v>
      </c>
      <c r="C715" t="s">
        <v>154</v>
      </c>
      <c r="D715" t="str" cm="1">
        <f t="array" ref="D715">_xlfn.XLOOKUP(1,
    ('team lookup'!$C$3:$C$97 = B715) * ('team lookup'!$A$3:$A$97 &lt;= A715) * (IF('team lookup'!$B$3:$B$97 = "", 9999, 'team lookup'!$B$3:$B$97) &gt;= A715),
    'team lookup'!$E$3:$E$97,
    "Other"
)</f>
        <v>Big Ten</v>
      </c>
      <c r="E715">
        <f t="shared" si="22"/>
        <v>0</v>
      </c>
      <c r="F715">
        <f t="shared" si="23"/>
        <v>1</v>
      </c>
    </row>
    <row r="716" spans="1:6" x14ac:dyDescent="0.35">
      <c r="A716">
        <v>2011</v>
      </c>
      <c r="B716">
        <v>257</v>
      </c>
      <c r="C716" t="s">
        <v>190</v>
      </c>
      <c r="D716" t="str" cm="1">
        <f t="array" ref="D716">_xlfn.XLOOKUP(1,
    ('team lookup'!$C$3:$C$97 = B716) * ('team lookup'!$A$3:$A$97 &lt;= A716) * (IF('team lookup'!$B$3:$B$97 = "", 9999, 'team lookup'!$B$3:$B$97) &gt;= A716),
    'team lookup'!$E$3:$E$97,
    "Other"
)</f>
        <v>Other</v>
      </c>
      <c r="E716">
        <f t="shared" si="22"/>
        <v>0</v>
      </c>
      <c r="F716">
        <f t="shared" si="23"/>
        <v>0</v>
      </c>
    </row>
    <row r="717" spans="1:6" x14ac:dyDescent="0.35">
      <c r="A717">
        <v>2011</v>
      </c>
      <c r="B717">
        <v>2612</v>
      </c>
      <c r="C717" t="s">
        <v>199</v>
      </c>
      <c r="D717" t="str" cm="1">
        <f t="array" ref="D717">_xlfn.XLOOKUP(1,
    ('team lookup'!$C$3:$C$97 = B717) * ('team lookup'!$A$3:$A$97 &lt;= A717) * (IF('team lookup'!$B$3:$B$97 = "", 9999, 'team lookup'!$B$3:$B$97) &gt;= A717),
    'team lookup'!$E$3:$E$97,
    "Other"
)</f>
        <v>Other</v>
      </c>
      <c r="E717">
        <f t="shared" si="22"/>
        <v>0</v>
      </c>
      <c r="F717">
        <f t="shared" si="23"/>
        <v>0</v>
      </c>
    </row>
    <row r="718" spans="1:6" x14ac:dyDescent="0.35">
      <c r="A718">
        <v>2011</v>
      </c>
      <c r="B718">
        <v>21</v>
      </c>
      <c r="C718" t="s">
        <v>192</v>
      </c>
      <c r="D718" t="str" cm="1">
        <f t="array" ref="D718">_xlfn.XLOOKUP(1,
    ('team lookup'!$C$3:$C$97 = B718) * ('team lookup'!$A$3:$A$97 &lt;= A718) * (IF('team lookup'!$B$3:$B$97 = "", 9999, 'team lookup'!$B$3:$B$97) &gt;= A718),
    'team lookup'!$E$3:$E$97,
    "Other"
)</f>
        <v>Other</v>
      </c>
      <c r="E718">
        <f t="shared" si="22"/>
        <v>0</v>
      </c>
      <c r="F718">
        <f t="shared" si="23"/>
        <v>0</v>
      </c>
    </row>
    <row r="719" spans="1:6" x14ac:dyDescent="0.35">
      <c r="A719">
        <v>2011</v>
      </c>
      <c r="B719">
        <v>2599</v>
      </c>
      <c r="C719" t="s">
        <v>200</v>
      </c>
      <c r="D719" t="str" cm="1">
        <f t="array" ref="D719">_xlfn.XLOOKUP(1,
    ('team lookup'!$C$3:$C$97 = B719) * ('team lookup'!$A$3:$A$97 &lt;= A719) * (IF('team lookup'!$B$3:$B$97 = "", 9999, 'team lookup'!$B$3:$B$97) &gt;= A719),
    'team lookup'!$E$3:$E$97,
    "Other"
)</f>
        <v>Big East</v>
      </c>
      <c r="E719">
        <f t="shared" si="22"/>
        <v>0</v>
      </c>
      <c r="F719">
        <f t="shared" si="23"/>
        <v>1</v>
      </c>
    </row>
    <row r="720" spans="1:6" x14ac:dyDescent="0.35">
      <c r="A720">
        <v>2011</v>
      </c>
      <c r="B720">
        <v>183</v>
      </c>
      <c r="C720" t="s">
        <v>183</v>
      </c>
      <c r="D720" t="str" cm="1">
        <f t="array" ref="D720">_xlfn.XLOOKUP(1,
    ('team lookup'!$C$3:$C$97 = B720) * ('team lookup'!$A$3:$A$97 &lt;= A720) * (IF('team lookup'!$B$3:$B$97 = "", 9999, 'team lookup'!$B$3:$B$97) &gt;= A720),
    'team lookup'!$E$3:$E$97,
    "Other"
)</f>
        <v>Big East</v>
      </c>
      <c r="E720">
        <f t="shared" si="22"/>
        <v>0</v>
      </c>
      <c r="F720">
        <f t="shared" si="23"/>
        <v>1</v>
      </c>
    </row>
    <row r="721" spans="1:6" x14ac:dyDescent="0.35">
      <c r="A721">
        <v>2011</v>
      </c>
      <c r="B721">
        <v>218</v>
      </c>
      <c r="C721" t="s">
        <v>161</v>
      </c>
      <c r="D721" t="str" cm="1">
        <f t="array" ref="D721">_xlfn.XLOOKUP(1,
    ('team lookup'!$C$3:$C$97 = B721) * ('team lookup'!$A$3:$A$97 &lt;= A721) * (IF('team lookup'!$B$3:$B$97 = "", 9999, 'team lookup'!$B$3:$B$97) &gt;= A721),
    'team lookup'!$E$3:$E$97,
    "Other"
)</f>
        <v>Other</v>
      </c>
      <c r="E721">
        <f t="shared" si="22"/>
        <v>0</v>
      </c>
      <c r="F721">
        <f t="shared" si="23"/>
        <v>0</v>
      </c>
    </row>
    <row r="722" spans="1:6" x14ac:dyDescent="0.35">
      <c r="A722">
        <v>2011</v>
      </c>
      <c r="B722">
        <v>2633</v>
      </c>
      <c r="C722" t="s">
        <v>162</v>
      </c>
      <c r="D722" t="str" cm="1">
        <f t="array" ref="D722">_xlfn.XLOOKUP(1,
    ('team lookup'!$C$3:$C$97 = B722) * ('team lookup'!$A$3:$A$97 &lt;= A722) * (IF('team lookup'!$B$3:$B$97 = "", 9999, 'team lookup'!$B$3:$B$97) &gt;= A722),
    'team lookup'!$E$3:$E$97,
    "Other"
)</f>
        <v>SEC</v>
      </c>
      <c r="E722">
        <f t="shared" si="22"/>
        <v>1</v>
      </c>
      <c r="F722">
        <f t="shared" si="23"/>
        <v>1</v>
      </c>
    </row>
    <row r="723" spans="1:6" x14ac:dyDescent="0.35">
      <c r="A723">
        <v>2011</v>
      </c>
      <c r="B723">
        <v>251</v>
      </c>
      <c r="C723" t="s">
        <v>163</v>
      </c>
      <c r="D723" t="str" cm="1">
        <f t="array" ref="D723">_xlfn.XLOOKUP(1,
    ('team lookup'!$C$3:$C$97 = B723) * ('team lookup'!$A$3:$A$97 &lt;= A723) * (IF('team lookup'!$B$3:$B$97 = "", 9999, 'team lookup'!$B$3:$B$97) &gt;= A723),
    'team lookup'!$E$3:$E$97,
    "Other"
)</f>
        <v>Big12</v>
      </c>
      <c r="E723">
        <f t="shared" si="22"/>
        <v>1</v>
      </c>
      <c r="F723">
        <f t="shared" si="23"/>
        <v>1</v>
      </c>
    </row>
    <row r="724" spans="1:6" x14ac:dyDescent="0.35">
      <c r="A724">
        <v>2011</v>
      </c>
      <c r="B724">
        <v>245</v>
      </c>
      <c r="C724" t="s">
        <v>164</v>
      </c>
      <c r="D724" t="str" cm="1">
        <f t="array" ref="D724">_xlfn.XLOOKUP(1,
    ('team lookup'!$C$3:$C$97 = B724) * ('team lookup'!$A$3:$A$97 &lt;= A724) * (IF('team lookup'!$B$3:$B$97 = "", 9999, 'team lookup'!$B$3:$B$97) &gt;= A724),
    'team lookup'!$E$3:$E$97,
    "Other"
)</f>
        <v>Big12</v>
      </c>
      <c r="E724">
        <f t="shared" si="22"/>
        <v>1</v>
      </c>
      <c r="F724">
        <f t="shared" si="23"/>
        <v>1</v>
      </c>
    </row>
    <row r="725" spans="1:6" x14ac:dyDescent="0.35">
      <c r="A725">
        <v>2011</v>
      </c>
      <c r="B725">
        <v>5</v>
      </c>
      <c r="C725" t="s">
        <v>201</v>
      </c>
      <c r="D725" t="str" cm="1">
        <f t="array" ref="D725">_xlfn.XLOOKUP(1,
    ('team lookup'!$C$3:$C$97 = B725) * ('team lookup'!$A$3:$A$97 &lt;= A725) * (IF('team lookup'!$B$3:$B$97 = "", 9999, 'team lookup'!$B$3:$B$97) &gt;= A725),
    'team lookup'!$E$3:$E$97,
    "Other"
)</f>
        <v>Other</v>
      </c>
      <c r="E725">
        <f t="shared" si="22"/>
        <v>0</v>
      </c>
      <c r="F725">
        <f t="shared" si="23"/>
        <v>0</v>
      </c>
    </row>
    <row r="726" spans="1:6" x14ac:dyDescent="0.35">
      <c r="A726">
        <v>2011</v>
      </c>
      <c r="B726">
        <v>26</v>
      </c>
      <c r="C726" t="s">
        <v>165</v>
      </c>
      <c r="D726" t="str" cm="1">
        <f t="array" ref="D726">_xlfn.XLOOKUP(1,
    ('team lookup'!$C$3:$C$97 = B726) * ('team lookup'!$A$3:$A$97 &lt;= A726) * (IF('team lookup'!$B$3:$B$97 = "", 9999, 'team lookup'!$B$3:$B$97) &gt;= A726),
    'team lookup'!$E$3:$E$97,
    "Other"
)</f>
        <v>Other</v>
      </c>
      <c r="E726">
        <f t="shared" si="22"/>
        <v>0</v>
      </c>
      <c r="F726">
        <f t="shared" si="23"/>
        <v>0</v>
      </c>
    </row>
    <row r="727" spans="1:6" x14ac:dyDescent="0.35">
      <c r="A727">
        <v>2011</v>
      </c>
      <c r="B727">
        <v>41</v>
      </c>
      <c r="C727" t="s">
        <v>166</v>
      </c>
      <c r="D727" t="str" cm="1">
        <f t="array" ref="D727">_xlfn.XLOOKUP(1,
    ('team lookup'!$C$3:$C$97 = B727) * ('team lookup'!$A$3:$A$97 &lt;= A727) * (IF('team lookup'!$B$3:$B$97 = "", 9999, 'team lookup'!$B$3:$B$97) &gt;= A727),
    'team lookup'!$E$3:$E$97,
    "Other"
)</f>
        <v>Big East</v>
      </c>
      <c r="E727">
        <f t="shared" si="22"/>
        <v>0</v>
      </c>
      <c r="F727">
        <f t="shared" si="23"/>
        <v>1</v>
      </c>
    </row>
    <row r="728" spans="1:6" x14ac:dyDescent="0.35">
      <c r="A728">
        <v>2011</v>
      </c>
      <c r="B728">
        <v>2540</v>
      </c>
      <c r="C728" t="s">
        <v>193</v>
      </c>
      <c r="D728" t="str" cm="1">
        <f t="array" ref="D728">_xlfn.XLOOKUP(1,
    ('team lookup'!$C$3:$C$97 = B728) * ('team lookup'!$A$3:$A$97 &lt;= A728) * (IF('team lookup'!$B$3:$B$97 = "", 9999, 'team lookup'!$B$3:$B$97) &gt;= A728),
    'team lookup'!$E$3:$E$97,
    "Other"
)</f>
        <v>Other</v>
      </c>
      <c r="E728">
        <f t="shared" si="22"/>
        <v>0</v>
      </c>
      <c r="F728">
        <f t="shared" si="23"/>
        <v>0</v>
      </c>
    </row>
    <row r="729" spans="1:6" x14ac:dyDescent="0.35">
      <c r="A729">
        <v>2011</v>
      </c>
      <c r="B729">
        <v>2427</v>
      </c>
      <c r="C729" t="s">
        <v>202</v>
      </c>
      <c r="D729" t="str" cm="1">
        <f t="array" ref="D729">_xlfn.XLOOKUP(1,
    ('team lookup'!$C$3:$C$97 = B729) * ('team lookup'!$A$3:$A$97 &lt;= A729) * (IF('team lookup'!$B$3:$B$97 = "", 9999, 'team lookup'!$B$3:$B$97) &gt;= A729),
    'team lookup'!$E$3:$E$97,
    "Other"
)</f>
        <v>Other</v>
      </c>
      <c r="E729">
        <f t="shared" si="22"/>
        <v>0</v>
      </c>
      <c r="F729">
        <f t="shared" si="23"/>
        <v>0</v>
      </c>
    </row>
    <row r="730" spans="1:6" x14ac:dyDescent="0.35">
      <c r="A730">
        <v>2011</v>
      </c>
      <c r="B730">
        <v>2439</v>
      </c>
      <c r="C730" t="s">
        <v>168</v>
      </c>
      <c r="D730" t="str" cm="1">
        <f t="array" ref="D730">_xlfn.XLOOKUP(1,
    ('team lookup'!$C$3:$C$97 = B730) * ('team lookup'!$A$3:$A$97 &lt;= A730) * (IF('team lookup'!$B$3:$B$97 = "", 9999, 'team lookup'!$B$3:$B$97) &gt;= A730),
    'team lookup'!$E$3:$E$97,
    "Other"
)</f>
        <v>Other</v>
      </c>
      <c r="E730">
        <f t="shared" si="22"/>
        <v>0</v>
      </c>
      <c r="F730">
        <f t="shared" si="23"/>
        <v>0</v>
      </c>
    </row>
    <row r="731" spans="1:6" x14ac:dyDescent="0.35">
      <c r="A731">
        <v>2011</v>
      </c>
      <c r="B731">
        <v>30</v>
      </c>
      <c r="C731" t="s">
        <v>169</v>
      </c>
      <c r="D731" t="str" cm="1">
        <f t="array" ref="D731">_xlfn.XLOOKUP(1,
    ('team lookup'!$C$3:$C$97 = B731) * ('team lookup'!$A$3:$A$97 &lt;= A731) * (IF('team lookup'!$B$3:$B$97 = "", 9999, 'team lookup'!$B$3:$B$97) &gt;= A731),
    'team lookup'!$E$3:$E$97,
    "Other"
)</f>
        <v>Other</v>
      </c>
      <c r="E731">
        <f t="shared" si="22"/>
        <v>0</v>
      </c>
      <c r="F731">
        <f t="shared" si="23"/>
        <v>0</v>
      </c>
    </row>
    <row r="732" spans="1:6" x14ac:dyDescent="0.35">
      <c r="A732">
        <v>2011</v>
      </c>
      <c r="B732">
        <v>328</v>
      </c>
      <c r="C732" t="s">
        <v>185</v>
      </c>
      <c r="D732" t="str" cm="1">
        <f t="array" ref="D732">_xlfn.XLOOKUP(1,
    ('team lookup'!$C$3:$C$97 = B732) * ('team lookup'!$A$3:$A$97 &lt;= A732) * (IF('team lookup'!$B$3:$B$97 = "", 9999, 'team lookup'!$B$3:$B$97) &gt;= A732),
    'team lookup'!$E$3:$E$97,
    "Other"
)</f>
        <v>Other</v>
      </c>
      <c r="E732">
        <f t="shared" si="22"/>
        <v>0</v>
      </c>
      <c r="F732">
        <f t="shared" si="23"/>
        <v>0</v>
      </c>
    </row>
    <row r="733" spans="1:6" x14ac:dyDescent="0.35">
      <c r="A733">
        <v>2011</v>
      </c>
      <c r="B733">
        <v>2636</v>
      </c>
      <c r="C733" t="s">
        <v>203</v>
      </c>
      <c r="D733" t="str" cm="1">
        <f t="array" ref="D733">_xlfn.XLOOKUP(1,
    ('team lookup'!$C$3:$C$97 = B733) * ('team lookup'!$A$3:$A$97 &lt;= A733) * (IF('team lookup'!$B$3:$B$97 = "", 9999, 'team lookup'!$B$3:$B$97) &gt;= A733),
    'team lookup'!$E$3:$E$97,
    "Other"
)</f>
        <v>Other</v>
      </c>
      <c r="E733">
        <f t="shared" si="22"/>
        <v>0</v>
      </c>
      <c r="F733">
        <f t="shared" si="23"/>
        <v>0</v>
      </c>
    </row>
    <row r="734" spans="1:6" x14ac:dyDescent="0.35">
      <c r="A734">
        <v>2011</v>
      </c>
      <c r="B734">
        <v>238</v>
      </c>
      <c r="C734" t="s">
        <v>171</v>
      </c>
      <c r="D734" t="str" cm="1">
        <f t="array" ref="D734">_xlfn.XLOOKUP(1,
    ('team lookup'!$C$3:$C$97 = B734) * ('team lookup'!$A$3:$A$97 &lt;= A734) * (IF('team lookup'!$B$3:$B$97 = "", 9999, 'team lookup'!$B$3:$B$97) &gt;= A734),
    'team lookup'!$E$3:$E$97,
    "Other"
)</f>
        <v>SEC</v>
      </c>
      <c r="E734">
        <f t="shared" si="22"/>
        <v>1</v>
      </c>
      <c r="F734">
        <f t="shared" si="23"/>
        <v>1</v>
      </c>
    </row>
    <row r="735" spans="1:6" x14ac:dyDescent="0.35">
      <c r="A735">
        <v>2011</v>
      </c>
      <c r="B735">
        <v>2670</v>
      </c>
      <c r="C735" t="s">
        <v>186</v>
      </c>
      <c r="D735" t="str" cm="1">
        <f t="array" ref="D735">_xlfn.XLOOKUP(1,
    ('team lookup'!$C$3:$C$97 = B735) * ('team lookup'!$A$3:$A$97 &lt;= A735) * (IF('team lookup'!$B$3:$B$97 = "", 9999, 'team lookup'!$B$3:$B$97) &gt;= A735),
    'team lookup'!$E$3:$E$97,
    "Other"
)</f>
        <v>Other</v>
      </c>
      <c r="E735">
        <f t="shared" si="22"/>
        <v>0</v>
      </c>
      <c r="F735">
        <f t="shared" si="23"/>
        <v>0</v>
      </c>
    </row>
    <row r="736" spans="1:6" x14ac:dyDescent="0.35">
      <c r="A736">
        <v>2011</v>
      </c>
      <c r="B736">
        <v>222</v>
      </c>
      <c r="C736" t="s">
        <v>172</v>
      </c>
      <c r="D736" t="str" cm="1">
        <f t="array" ref="D736">_xlfn.XLOOKUP(1,
    ('team lookup'!$C$3:$C$97 = B736) * ('team lookup'!$A$3:$A$97 &lt;= A736) * (IF('team lookup'!$B$3:$B$97 = "", 9999, 'team lookup'!$B$3:$B$97) &gt;= A736),
    'team lookup'!$E$3:$E$97,
    "Other"
)</f>
        <v>Big East</v>
      </c>
      <c r="E736">
        <f t="shared" si="22"/>
        <v>0</v>
      </c>
      <c r="F736">
        <f t="shared" si="23"/>
        <v>1</v>
      </c>
    </row>
    <row r="737" spans="1:6" x14ac:dyDescent="0.35">
      <c r="A737">
        <v>2011</v>
      </c>
      <c r="B737">
        <v>264</v>
      </c>
      <c r="C737" t="s">
        <v>188</v>
      </c>
      <c r="D737" t="str" cm="1">
        <f t="array" ref="D737">_xlfn.XLOOKUP(1,
    ('team lookup'!$C$3:$C$97 = B737) * ('team lookup'!$A$3:$A$97 &lt;= A737) * (IF('team lookup'!$B$3:$B$97 = "", 9999, 'team lookup'!$B$3:$B$97) &gt;= A737),
    'team lookup'!$E$3:$E$97,
    "Other"
)</f>
        <v>Other</v>
      </c>
      <c r="E737">
        <f t="shared" si="22"/>
        <v>0</v>
      </c>
      <c r="F737">
        <f t="shared" si="23"/>
        <v>0</v>
      </c>
    </row>
    <row r="738" spans="1:6" x14ac:dyDescent="0.35">
      <c r="A738">
        <v>2011</v>
      </c>
      <c r="B738">
        <v>277</v>
      </c>
      <c r="C738" t="s">
        <v>174</v>
      </c>
      <c r="D738" t="str" cm="1">
        <f t="array" ref="D738">_xlfn.XLOOKUP(1,
    ('team lookup'!$C$3:$C$97 = B738) * ('team lookup'!$A$3:$A$97 &lt;= A738) * (IF('team lookup'!$B$3:$B$97 = "", 9999, 'team lookup'!$B$3:$B$97) &gt;= A738),
    'team lookup'!$E$3:$E$97,
    "Other"
)</f>
        <v>Big East</v>
      </c>
      <c r="E738">
        <f t="shared" si="22"/>
        <v>0</v>
      </c>
      <c r="F738">
        <f t="shared" si="23"/>
        <v>1</v>
      </c>
    </row>
    <row r="739" spans="1:6" x14ac:dyDescent="0.35">
      <c r="A739">
        <v>2011</v>
      </c>
      <c r="B739">
        <v>275</v>
      </c>
      <c r="C739" t="s">
        <v>177</v>
      </c>
      <c r="D739" t="str" cm="1">
        <f t="array" ref="D739">_xlfn.XLOOKUP(1,
    ('team lookup'!$C$3:$C$97 = B739) * ('team lookup'!$A$3:$A$97 &lt;= A739) * (IF('team lookup'!$B$3:$B$97 = "", 9999, 'team lookup'!$B$3:$B$97) &gt;= A739),
    'team lookup'!$E$3:$E$97,
    "Other"
)</f>
        <v>Big Ten</v>
      </c>
      <c r="E739">
        <f t="shared" si="22"/>
        <v>0</v>
      </c>
      <c r="F739">
        <f t="shared" si="23"/>
        <v>1</v>
      </c>
    </row>
    <row r="740" spans="1:6" x14ac:dyDescent="0.35">
      <c r="A740">
        <v>2011</v>
      </c>
      <c r="B740">
        <v>2747</v>
      </c>
      <c r="C740" t="s">
        <v>196</v>
      </c>
      <c r="D740" t="str" cm="1">
        <f t="array" ref="D740">_xlfn.XLOOKUP(1,
    ('team lookup'!$C$3:$C$97 = B740) * ('team lookup'!$A$3:$A$97 &lt;= A740) * (IF('team lookup'!$B$3:$B$97 = "", 9999, 'team lookup'!$B$3:$B$97) &gt;= A740),
    'team lookup'!$E$3:$E$97,
    "Other"
)</f>
        <v>Other</v>
      </c>
      <c r="E740">
        <f t="shared" si="22"/>
        <v>0</v>
      </c>
      <c r="F740">
        <f t="shared" si="23"/>
        <v>0</v>
      </c>
    </row>
    <row r="741" spans="1:6" x14ac:dyDescent="0.35">
      <c r="A741">
        <v>2011</v>
      </c>
      <c r="B741">
        <v>2752</v>
      </c>
      <c r="C741" t="s">
        <v>178</v>
      </c>
      <c r="D741" t="str" cm="1">
        <f t="array" ref="D741">_xlfn.XLOOKUP(1,
    ('team lookup'!$C$3:$C$97 = B741) * ('team lookup'!$A$3:$A$97 &lt;= A741) * (IF('team lookup'!$B$3:$B$97 = "", 9999, 'team lookup'!$B$3:$B$97) &gt;= A741),
    'team lookup'!$E$3:$E$97,
    "Other"
)</f>
        <v>Other</v>
      </c>
      <c r="E741">
        <f t="shared" si="22"/>
        <v>0</v>
      </c>
      <c r="F741">
        <f t="shared" si="23"/>
        <v>0</v>
      </c>
    </row>
    <row r="742" spans="1:6" x14ac:dyDescent="0.35">
      <c r="A742">
        <v>2012</v>
      </c>
      <c r="B742">
        <v>167</v>
      </c>
      <c r="C742" t="s">
        <v>64</v>
      </c>
      <c r="D742" t="str" cm="1">
        <f t="array" ref="D742">_xlfn.XLOOKUP(1,
    ('team lookup'!$C$3:$C$97 = B742) * ('team lookup'!$A$3:$A$97 &lt;= A742) * (IF('team lookup'!$B$3:$B$97 = "", 9999, 'team lookup'!$B$3:$B$97) &gt;= A742),
    'team lookup'!$E$3:$E$97,
    "Other"
)</f>
        <v>Other</v>
      </c>
      <c r="E742">
        <f t="shared" si="22"/>
        <v>0</v>
      </c>
      <c r="F742">
        <f t="shared" si="23"/>
        <v>0</v>
      </c>
    </row>
    <row r="743" spans="1:6" x14ac:dyDescent="0.35">
      <c r="A743">
        <v>2012</v>
      </c>
      <c r="B743">
        <v>166</v>
      </c>
      <c r="C743" t="s">
        <v>65</v>
      </c>
      <c r="D743" t="str" cm="1">
        <f t="array" ref="D743">_xlfn.XLOOKUP(1,
    ('team lookup'!$C$3:$C$97 = B743) * ('team lookup'!$A$3:$A$97 &lt;= A743) * (IF('team lookup'!$B$3:$B$97 = "", 9999, 'team lookup'!$B$3:$B$97) &gt;= A743),
    'team lookup'!$E$3:$E$97,
    "Other"
)</f>
        <v>Other</v>
      </c>
      <c r="E743">
        <f t="shared" si="22"/>
        <v>0</v>
      </c>
      <c r="F743">
        <f t="shared" si="23"/>
        <v>0</v>
      </c>
    </row>
    <row r="744" spans="1:6" x14ac:dyDescent="0.35">
      <c r="A744">
        <v>2012</v>
      </c>
      <c r="B744">
        <v>2450</v>
      </c>
      <c r="C744" t="s">
        <v>139</v>
      </c>
      <c r="D744" t="str" cm="1">
        <f t="array" ref="D744">_xlfn.XLOOKUP(1,
    ('team lookup'!$C$3:$C$97 = B744) * ('team lookup'!$A$3:$A$97 &lt;= A744) * (IF('team lookup'!$B$3:$B$97 = "", 9999, 'team lookup'!$B$3:$B$97) &gt;= A744),
    'team lookup'!$E$3:$E$97,
    "Other"
)</f>
        <v>Other</v>
      </c>
      <c r="E744">
        <f t="shared" si="22"/>
        <v>0</v>
      </c>
      <c r="F744">
        <f t="shared" si="23"/>
        <v>0</v>
      </c>
    </row>
    <row r="745" spans="1:6" x14ac:dyDescent="0.35">
      <c r="A745">
        <v>2012</v>
      </c>
      <c r="B745">
        <v>153</v>
      </c>
      <c r="C745" t="s">
        <v>35</v>
      </c>
      <c r="D745" t="str" cm="1">
        <f t="array" ref="D745">_xlfn.XLOOKUP(1,
    ('team lookup'!$C$3:$C$97 = B745) * ('team lookup'!$A$3:$A$97 &lt;= A745) * (IF('team lookup'!$B$3:$B$97 = "", 9999, 'team lookup'!$B$3:$B$97) &gt;= A745),
    'team lookup'!$E$3:$E$97,
    "Other"
)</f>
        <v>ACC</v>
      </c>
      <c r="E745">
        <f t="shared" si="22"/>
        <v>1</v>
      </c>
      <c r="F745">
        <f t="shared" si="23"/>
        <v>1</v>
      </c>
    </row>
    <row r="746" spans="1:6" x14ac:dyDescent="0.35">
      <c r="A746">
        <v>2012</v>
      </c>
      <c r="B746">
        <v>87</v>
      </c>
      <c r="C746" t="s">
        <v>36</v>
      </c>
      <c r="D746" t="str" cm="1">
        <f t="array" ref="D746">_xlfn.XLOOKUP(1,
    ('team lookup'!$C$3:$C$97 = B746) * ('team lookup'!$A$3:$A$97 &lt;= A746) * (IF('team lookup'!$B$3:$B$97 = "", 9999, 'team lookup'!$B$3:$B$97) &gt;= A746),
    'team lookup'!$E$3:$E$97,
    "Other"
)</f>
        <v>Big East</v>
      </c>
      <c r="E746">
        <f t="shared" si="22"/>
        <v>0</v>
      </c>
      <c r="F746">
        <f t="shared" si="23"/>
        <v>1</v>
      </c>
    </row>
    <row r="747" spans="1:6" x14ac:dyDescent="0.35">
      <c r="A747">
        <v>2012</v>
      </c>
      <c r="B747">
        <v>195</v>
      </c>
      <c r="C747" t="s">
        <v>189</v>
      </c>
      <c r="D747" t="str" cm="1">
        <f t="array" ref="D747">_xlfn.XLOOKUP(1,
    ('team lookup'!$C$3:$C$97 = B747) * ('team lookup'!$A$3:$A$97 &lt;= A747) * (IF('team lookup'!$B$3:$B$97 = "", 9999, 'team lookup'!$B$3:$B$97) &gt;= A747),
    'team lookup'!$E$3:$E$97,
    "Other"
)</f>
        <v>Other</v>
      </c>
      <c r="E747">
        <f t="shared" si="22"/>
        <v>0</v>
      </c>
      <c r="F747">
        <f t="shared" si="23"/>
        <v>0</v>
      </c>
    </row>
    <row r="748" spans="1:6" x14ac:dyDescent="0.35">
      <c r="A748">
        <v>2012</v>
      </c>
      <c r="B748">
        <v>194</v>
      </c>
      <c r="C748" t="s">
        <v>77</v>
      </c>
      <c r="D748" t="str" cm="1">
        <f t="array" ref="D748">_xlfn.XLOOKUP(1,
    ('team lookup'!$C$3:$C$97 = B748) * ('team lookup'!$A$3:$A$97 &lt;= A748) * (IF('team lookup'!$B$3:$B$97 = "", 9999, 'team lookup'!$B$3:$B$97) &gt;= A748),
    'team lookup'!$E$3:$E$97,
    "Other"
)</f>
        <v>Big Ten</v>
      </c>
      <c r="E748">
        <f t="shared" si="22"/>
        <v>0</v>
      </c>
      <c r="F748">
        <f t="shared" si="23"/>
        <v>1</v>
      </c>
    </row>
    <row r="749" spans="1:6" x14ac:dyDescent="0.35">
      <c r="A749">
        <v>2012</v>
      </c>
      <c r="B749">
        <v>2509</v>
      </c>
      <c r="C749" t="s">
        <v>154</v>
      </c>
      <c r="D749" t="str" cm="1">
        <f t="array" ref="D749">_xlfn.XLOOKUP(1,
    ('team lookup'!$C$3:$C$97 = B749) * ('team lookup'!$A$3:$A$97 &lt;= A749) * (IF('team lookup'!$B$3:$B$97 = "", 9999, 'team lookup'!$B$3:$B$97) &gt;= A749),
    'team lookup'!$E$3:$E$97,
    "Other"
)</f>
        <v>Big Ten</v>
      </c>
      <c r="E749">
        <f t="shared" si="22"/>
        <v>0</v>
      </c>
      <c r="F749">
        <f t="shared" si="23"/>
        <v>1</v>
      </c>
    </row>
    <row r="750" spans="1:6" x14ac:dyDescent="0.35">
      <c r="A750">
        <v>2012</v>
      </c>
      <c r="B750">
        <v>2571</v>
      </c>
      <c r="C750" t="s">
        <v>204</v>
      </c>
      <c r="D750" t="str" cm="1">
        <f t="array" ref="D750">_xlfn.XLOOKUP(1,
    ('team lookup'!$C$3:$C$97 = B750) * ('team lookup'!$A$3:$A$97 &lt;= A750) * (IF('team lookup'!$B$3:$B$97 = "", 9999, 'team lookup'!$B$3:$B$97) &gt;= A750),
    'team lookup'!$E$3:$E$97,
    "Other"
)</f>
        <v>Other</v>
      </c>
      <c r="E750">
        <f t="shared" si="22"/>
        <v>0</v>
      </c>
      <c r="F750">
        <f t="shared" si="23"/>
        <v>0</v>
      </c>
    </row>
    <row r="751" spans="1:6" x14ac:dyDescent="0.35">
      <c r="A751">
        <v>2012</v>
      </c>
      <c r="B751">
        <v>139</v>
      </c>
      <c r="C751" t="s">
        <v>205</v>
      </c>
      <c r="D751" t="str" cm="1">
        <f t="array" ref="D751">_xlfn.XLOOKUP(1,
    ('team lookup'!$C$3:$C$97 = B751) * ('team lookup'!$A$3:$A$97 &lt;= A751) * (IF('team lookup'!$B$3:$B$97 = "", 9999, 'team lookup'!$B$3:$B$97) &gt;= A751),
    'team lookup'!$E$3:$E$97,
    "Other"
)</f>
        <v>Other</v>
      </c>
      <c r="E751">
        <f t="shared" si="22"/>
        <v>0</v>
      </c>
      <c r="F751">
        <f t="shared" si="23"/>
        <v>0</v>
      </c>
    </row>
    <row r="752" spans="1:6" x14ac:dyDescent="0.35">
      <c r="A752">
        <v>2012</v>
      </c>
      <c r="B752">
        <v>2608</v>
      </c>
      <c r="C752" t="s">
        <v>156</v>
      </c>
      <c r="D752" t="str" cm="1">
        <f t="array" ref="D752">_xlfn.XLOOKUP(1,
    ('team lookup'!$C$3:$C$97 = B752) * ('team lookup'!$A$3:$A$97 &lt;= A752) * (IF('team lookup'!$B$3:$B$97 = "", 9999, 'team lookup'!$B$3:$B$97) &gt;= A752),
    'team lookup'!$E$3:$E$97,
    "Other"
)</f>
        <v>Other</v>
      </c>
      <c r="E752">
        <f t="shared" si="22"/>
        <v>0</v>
      </c>
      <c r="F752">
        <f t="shared" si="23"/>
        <v>0</v>
      </c>
    </row>
    <row r="753" spans="1:6" x14ac:dyDescent="0.35">
      <c r="A753">
        <v>2012</v>
      </c>
      <c r="B753">
        <v>21</v>
      </c>
      <c r="C753" t="s">
        <v>192</v>
      </c>
      <c r="D753" t="str" cm="1">
        <f t="array" ref="D753">_xlfn.XLOOKUP(1,
    ('team lookup'!$C$3:$C$97 = B753) * ('team lookup'!$A$3:$A$97 &lt;= A753) * (IF('team lookup'!$B$3:$B$97 = "", 9999, 'team lookup'!$B$3:$B$97) &gt;= A753),
    'team lookup'!$E$3:$E$97,
    "Other"
)</f>
        <v>Other</v>
      </c>
      <c r="E753">
        <f t="shared" si="22"/>
        <v>0</v>
      </c>
      <c r="F753">
        <f t="shared" si="23"/>
        <v>0</v>
      </c>
    </row>
    <row r="754" spans="1:6" x14ac:dyDescent="0.35">
      <c r="A754">
        <v>2012</v>
      </c>
      <c r="B754">
        <v>58</v>
      </c>
      <c r="C754" t="s">
        <v>206</v>
      </c>
      <c r="D754" t="str" cm="1">
        <f t="array" ref="D754">_xlfn.XLOOKUP(1,
    ('team lookup'!$C$3:$C$97 = B754) * ('team lookup'!$A$3:$A$97 &lt;= A754) * (IF('team lookup'!$B$3:$B$97 = "", 9999, 'team lookup'!$B$3:$B$97) &gt;= A754),
    'team lookup'!$E$3:$E$97,
    "Other"
)</f>
        <v>Big East</v>
      </c>
      <c r="E754">
        <f t="shared" si="22"/>
        <v>0</v>
      </c>
      <c r="F754">
        <f t="shared" si="23"/>
        <v>1</v>
      </c>
    </row>
    <row r="755" spans="1:6" x14ac:dyDescent="0.35">
      <c r="A755">
        <v>2012</v>
      </c>
      <c r="B755">
        <v>2572</v>
      </c>
      <c r="C755" t="s">
        <v>207</v>
      </c>
      <c r="D755" t="str" cm="1">
        <f t="array" ref="D755">_xlfn.XLOOKUP(1,
    ('team lookup'!$C$3:$C$97 = B755) * ('team lookup'!$A$3:$A$97 &lt;= A755) * (IF('team lookup'!$B$3:$B$97 = "", 9999, 'team lookup'!$B$3:$B$97) &gt;= A755),
    'team lookup'!$E$3:$E$97,
    "Other"
)</f>
        <v>Other</v>
      </c>
      <c r="E755">
        <f t="shared" si="22"/>
        <v>0</v>
      </c>
      <c r="F755">
        <f t="shared" si="23"/>
        <v>0</v>
      </c>
    </row>
    <row r="756" spans="1:6" x14ac:dyDescent="0.35">
      <c r="A756">
        <v>2012</v>
      </c>
      <c r="B756">
        <v>179</v>
      </c>
      <c r="C756" t="s">
        <v>208</v>
      </c>
      <c r="D756" t="str" cm="1">
        <f t="array" ref="D756">_xlfn.XLOOKUP(1,
    ('team lookup'!$C$3:$C$97 = B756) * ('team lookup'!$A$3:$A$97 &lt;= A756) * (IF('team lookup'!$B$3:$B$97 = "", 9999, 'team lookup'!$B$3:$B$97) &gt;= A756),
    'team lookup'!$E$3:$E$97,
    "Other"
)</f>
        <v>Other</v>
      </c>
      <c r="E756">
        <f t="shared" si="22"/>
        <v>0</v>
      </c>
      <c r="F756">
        <f t="shared" si="23"/>
        <v>0</v>
      </c>
    </row>
    <row r="757" spans="1:6" x14ac:dyDescent="0.35">
      <c r="A757">
        <v>2012</v>
      </c>
      <c r="B757">
        <v>183</v>
      </c>
      <c r="C757" t="s">
        <v>183</v>
      </c>
      <c r="D757" t="str" cm="1">
        <f t="array" ref="D757">_xlfn.XLOOKUP(1,
    ('team lookup'!$C$3:$C$97 = B757) * ('team lookup'!$A$3:$A$97 &lt;= A757) * (IF('team lookup'!$B$3:$B$97 = "", 9999, 'team lookup'!$B$3:$B$97) &gt;= A757),
    'team lookup'!$E$3:$E$97,
    "Other"
)</f>
        <v>Big East</v>
      </c>
      <c r="E757">
        <f t="shared" si="22"/>
        <v>0</v>
      </c>
      <c r="F757">
        <f t="shared" si="23"/>
        <v>1</v>
      </c>
    </row>
    <row r="758" spans="1:6" x14ac:dyDescent="0.35">
      <c r="A758">
        <v>2012</v>
      </c>
      <c r="B758">
        <v>218</v>
      </c>
      <c r="C758" t="s">
        <v>161</v>
      </c>
      <c r="D758" t="str" cm="1">
        <f t="array" ref="D758">_xlfn.XLOOKUP(1,
    ('team lookup'!$C$3:$C$97 = B758) * ('team lookup'!$A$3:$A$97 &lt;= A758) * (IF('team lookup'!$B$3:$B$97 = "", 9999, 'team lookup'!$B$3:$B$97) &gt;= A758),
    'team lookup'!$E$3:$E$97,
    "Other"
)</f>
        <v>Other</v>
      </c>
      <c r="E758">
        <f t="shared" si="22"/>
        <v>0</v>
      </c>
      <c r="F758">
        <f t="shared" si="23"/>
        <v>0</v>
      </c>
    </row>
    <row r="759" spans="1:6" x14ac:dyDescent="0.35">
      <c r="A759">
        <v>2012</v>
      </c>
      <c r="B759">
        <v>251</v>
      </c>
      <c r="C759" t="s">
        <v>163</v>
      </c>
      <c r="D759" t="str" cm="1">
        <f t="array" ref="D759">_xlfn.XLOOKUP(1,
    ('team lookup'!$C$3:$C$97 = B759) * ('team lookup'!$A$3:$A$97 &lt;= A759) * (IF('team lookup'!$B$3:$B$97 = "", 9999, 'team lookup'!$B$3:$B$97) &gt;= A759),
    'team lookup'!$E$3:$E$97,
    "Other"
)</f>
        <v>Big12</v>
      </c>
      <c r="E759">
        <f t="shared" si="22"/>
        <v>1</v>
      </c>
      <c r="F759">
        <f t="shared" si="23"/>
        <v>1</v>
      </c>
    </row>
    <row r="760" spans="1:6" x14ac:dyDescent="0.35">
      <c r="A760">
        <v>2012</v>
      </c>
      <c r="B760">
        <v>41</v>
      </c>
      <c r="C760" t="s">
        <v>166</v>
      </c>
      <c r="D760" t="str" cm="1">
        <f t="array" ref="D760">_xlfn.XLOOKUP(1,
    ('team lookup'!$C$3:$C$97 = B760) * ('team lookup'!$A$3:$A$97 &lt;= A760) * (IF('team lookup'!$B$3:$B$97 = "", 9999, 'team lookup'!$B$3:$B$97) &gt;= A760),
    'team lookup'!$E$3:$E$97,
    "Other"
)</f>
        <v>Big East</v>
      </c>
      <c r="E760">
        <f t="shared" si="22"/>
        <v>0</v>
      </c>
      <c r="F760">
        <f t="shared" si="23"/>
        <v>1</v>
      </c>
    </row>
    <row r="761" spans="1:6" x14ac:dyDescent="0.35">
      <c r="A761">
        <v>2012</v>
      </c>
      <c r="B761">
        <v>2427</v>
      </c>
      <c r="C761" t="s">
        <v>202</v>
      </c>
      <c r="D761" t="str" cm="1">
        <f t="array" ref="D761">_xlfn.XLOOKUP(1,
    ('team lookup'!$C$3:$C$97 = B761) * ('team lookup'!$A$3:$A$97 &lt;= A761) * (IF('team lookup'!$B$3:$B$97 = "", 9999, 'team lookup'!$B$3:$B$97) &gt;= A761),
    'team lookup'!$E$3:$E$97,
    "Other"
)</f>
        <v>Other</v>
      </c>
      <c r="E761">
        <f t="shared" si="22"/>
        <v>0</v>
      </c>
      <c r="F761">
        <f t="shared" si="23"/>
        <v>0</v>
      </c>
    </row>
    <row r="762" spans="1:6" x14ac:dyDescent="0.35">
      <c r="A762">
        <v>2012</v>
      </c>
      <c r="B762">
        <v>2439</v>
      </c>
      <c r="C762" t="s">
        <v>168</v>
      </c>
      <c r="D762" t="str" cm="1">
        <f t="array" ref="D762">_xlfn.XLOOKUP(1,
    ('team lookup'!$C$3:$C$97 = B762) * ('team lookup'!$A$3:$A$97 &lt;= A762) * (IF('team lookup'!$B$3:$B$97 = "", 9999, 'team lookup'!$B$3:$B$97) &gt;= A762),
    'team lookup'!$E$3:$E$97,
    "Other"
)</f>
        <v>Other</v>
      </c>
      <c r="E762">
        <f t="shared" si="22"/>
        <v>0</v>
      </c>
      <c r="F762">
        <f t="shared" si="23"/>
        <v>0</v>
      </c>
    </row>
    <row r="763" spans="1:6" x14ac:dyDescent="0.35">
      <c r="A763">
        <v>2012</v>
      </c>
      <c r="B763">
        <v>238</v>
      </c>
      <c r="C763" t="s">
        <v>171</v>
      </c>
      <c r="D763" t="str" cm="1">
        <f t="array" ref="D763">_xlfn.XLOOKUP(1,
    ('team lookup'!$C$3:$C$97 = B763) * ('team lookup'!$A$3:$A$97 &lt;= A763) * (IF('team lookup'!$B$3:$B$97 = "", 9999, 'team lookup'!$B$3:$B$97) &gt;= A763),
    'team lookup'!$E$3:$E$97,
    "Other"
)</f>
        <v>SEC</v>
      </c>
      <c r="E763">
        <f t="shared" si="22"/>
        <v>1</v>
      </c>
      <c r="F763">
        <f t="shared" si="23"/>
        <v>1</v>
      </c>
    </row>
    <row r="764" spans="1:6" x14ac:dyDescent="0.35">
      <c r="A764">
        <v>2012</v>
      </c>
      <c r="B764">
        <v>2670</v>
      </c>
      <c r="C764" t="s">
        <v>186</v>
      </c>
      <c r="D764" t="str" cm="1">
        <f t="array" ref="D764">_xlfn.XLOOKUP(1,
    ('team lookup'!$C$3:$C$97 = B764) * ('team lookup'!$A$3:$A$97 &lt;= A764) * (IF('team lookup'!$B$3:$B$97 = "", 9999, 'team lookup'!$B$3:$B$97) &gt;= A764),
    'team lookup'!$E$3:$E$97,
    "Other"
)</f>
        <v>Other</v>
      </c>
      <c r="E764">
        <f t="shared" si="22"/>
        <v>0</v>
      </c>
      <c r="F764">
        <f t="shared" si="23"/>
        <v>0</v>
      </c>
    </row>
    <row r="765" spans="1:6" x14ac:dyDescent="0.35">
      <c r="A765">
        <v>2012</v>
      </c>
      <c r="B765">
        <v>261</v>
      </c>
      <c r="C765" t="s">
        <v>195</v>
      </c>
      <c r="D765" t="str" cm="1">
        <f t="array" ref="D765">_xlfn.XLOOKUP(1,
    ('team lookup'!$C$3:$C$97 = B765) * ('team lookup'!$A$3:$A$97 &lt;= A765) * (IF('team lookup'!$B$3:$B$97 = "", 9999, 'team lookup'!$B$3:$B$97) &gt;= A765),
    'team lookup'!$E$3:$E$97,
    "Other"
)</f>
        <v>Other</v>
      </c>
      <c r="E765">
        <f t="shared" si="22"/>
        <v>0</v>
      </c>
      <c r="F765">
        <f t="shared" si="23"/>
        <v>0</v>
      </c>
    </row>
    <row r="766" spans="1:6" x14ac:dyDescent="0.35">
      <c r="A766">
        <v>2012</v>
      </c>
      <c r="B766">
        <v>258</v>
      </c>
      <c r="C766" t="s">
        <v>209</v>
      </c>
      <c r="D766" t="str" cm="1">
        <f t="array" ref="D766">_xlfn.XLOOKUP(1,
    ('team lookup'!$C$3:$C$97 = B766) * ('team lookup'!$A$3:$A$97 &lt;= A766) * (IF('team lookup'!$B$3:$B$97 = "", 9999, 'team lookup'!$B$3:$B$97) &gt;= A766),
    'team lookup'!$E$3:$E$97,
    "Other"
)</f>
        <v>ACC</v>
      </c>
      <c r="E766">
        <f t="shared" si="22"/>
        <v>1</v>
      </c>
      <c r="F766">
        <f t="shared" si="23"/>
        <v>1</v>
      </c>
    </row>
    <row r="767" spans="1:6" x14ac:dyDescent="0.35">
      <c r="A767">
        <v>2012</v>
      </c>
      <c r="B767">
        <v>277</v>
      </c>
      <c r="C767" t="s">
        <v>174</v>
      </c>
      <c r="D767" t="str" cm="1">
        <f t="array" ref="D767">_xlfn.XLOOKUP(1,
    ('team lookup'!$C$3:$C$97 = B767) * ('team lookup'!$A$3:$A$97 &lt;= A767) * (IF('team lookup'!$B$3:$B$97 = "", 9999, 'team lookup'!$B$3:$B$97) &gt;= A767),
    'team lookup'!$E$3:$E$97,
    "Other"
)</f>
        <v>Big East</v>
      </c>
      <c r="E767">
        <f t="shared" si="22"/>
        <v>0</v>
      </c>
      <c r="F767">
        <f t="shared" si="23"/>
        <v>1</v>
      </c>
    </row>
    <row r="768" spans="1:6" x14ac:dyDescent="0.35">
      <c r="A768">
        <v>2012</v>
      </c>
      <c r="B768">
        <v>98</v>
      </c>
      <c r="C768" t="s">
        <v>175</v>
      </c>
      <c r="D768" t="str" cm="1">
        <f t="array" ref="D768">_xlfn.XLOOKUP(1,
    ('team lookup'!$C$3:$C$97 = B768) * ('team lookup'!$A$3:$A$97 &lt;= A768) * (IF('team lookup'!$B$3:$B$97 = "", 9999, 'team lookup'!$B$3:$B$97) &gt;= A768),
    'team lookup'!$E$3:$E$97,
    "Other"
)</f>
        <v>Other</v>
      </c>
      <c r="E768">
        <f t="shared" si="22"/>
        <v>0</v>
      </c>
      <c r="F768">
        <f t="shared" si="23"/>
        <v>0</v>
      </c>
    </row>
    <row r="769" spans="1:6" x14ac:dyDescent="0.35">
      <c r="A769">
        <v>2012</v>
      </c>
      <c r="B769">
        <v>2724</v>
      </c>
      <c r="C769" t="s">
        <v>210</v>
      </c>
      <c r="D769" t="str" cm="1">
        <f t="array" ref="D769">_xlfn.XLOOKUP(1,
    ('team lookup'!$C$3:$C$97 = B769) * ('team lookup'!$A$3:$A$97 &lt;= A769) * (IF('team lookup'!$B$3:$B$97 = "", 9999, 'team lookup'!$B$3:$B$97) &gt;= A769),
    'team lookup'!$E$3:$E$97,
    "Other"
)</f>
        <v>Other</v>
      </c>
      <c r="E769">
        <f t="shared" si="22"/>
        <v>0</v>
      </c>
      <c r="F769">
        <f t="shared" si="23"/>
        <v>0</v>
      </c>
    </row>
    <row r="770" spans="1:6" x14ac:dyDescent="0.35">
      <c r="A770">
        <v>2012</v>
      </c>
      <c r="B770">
        <v>275</v>
      </c>
      <c r="C770" t="s">
        <v>177</v>
      </c>
      <c r="D770" t="str" cm="1">
        <f t="array" ref="D770">_xlfn.XLOOKUP(1,
    ('team lookup'!$C$3:$C$97 = B770) * ('team lookup'!$A$3:$A$97 &lt;= A770) * (IF('team lookup'!$B$3:$B$97 = "", 9999, 'team lookup'!$B$3:$B$97) &gt;= A770),
    'team lookup'!$E$3:$E$97,
    "Other"
)</f>
        <v>Big Ten</v>
      </c>
      <c r="E770">
        <f t="shared" si="22"/>
        <v>0</v>
      </c>
      <c r="F770">
        <f t="shared" si="23"/>
        <v>1</v>
      </c>
    </row>
    <row r="771" spans="1:6" x14ac:dyDescent="0.35">
      <c r="A771">
        <v>2012</v>
      </c>
      <c r="B771">
        <v>2752</v>
      </c>
      <c r="C771" t="s">
        <v>178</v>
      </c>
      <c r="D771" t="str" cm="1">
        <f t="array" ref="D771">_xlfn.XLOOKUP(1,
    ('team lookup'!$C$3:$C$97 = B771) * ('team lookup'!$A$3:$A$97 &lt;= A771) * (IF('team lookup'!$B$3:$B$97 = "", 9999, 'team lookup'!$B$3:$B$97) &gt;= A771),
    'team lookup'!$E$3:$E$97,
    "Other"
)</f>
        <v>Other</v>
      </c>
      <c r="E771">
        <f t="shared" ref="E771:E834" si="24">IF(OR(D771="ACC", D771="SEC", D771="Big12"), 1,0)</f>
        <v>0</v>
      </c>
      <c r="F771">
        <f t="shared" ref="F771:F834" si="25">IF(D771&lt;&gt;"Other", 1,0)</f>
        <v>0</v>
      </c>
    </row>
    <row r="772" spans="1:6" x14ac:dyDescent="0.35">
      <c r="A772">
        <v>2013</v>
      </c>
      <c r="B772">
        <v>2393</v>
      </c>
      <c r="C772" t="s">
        <v>120</v>
      </c>
      <c r="D772" t="str" cm="1">
        <f t="array" ref="D772">_xlfn.XLOOKUP(1,
    ('team lookup'!$C$3:$C$97 = B772) * ('team lookup'!$A$3:$A$97 &lt;= A772) * (IF('team lookup'!$B$3:$B$97 = "", 9999, 'team lookup'!$B$3:$B$97) &gt;= A772),
    'team lookup'!$E$3:$E$97,
    "Other"
)</f>
        <v>Other</v>
      </c>
      <c r="E772">
        <f t="shared" si="24"/>
        <v>0</v>
      </c>
      <c r="F772">
        <f t="shared" si="25"/>
        <v>0</v>
      </c>
    </row>
    <row r="773" spans="1:6" x14ac:dyDescent="0.35">
      <c r="A773">
        <v>2013</v>
      </c>
      <c r="B773">
        <v>2448</v>
      </c>
      <c r="C773" t="s">
        <v>211</v>
      </c>
      <c r="D773" t="str" cm="1">
        <f t="array" ref="D773">_xlfn.XLOOKUP(1,
    ('team lookup'!$C$3:$C$97 = B773) * ('team lookup'!$A$3:$A$97 &lt;= A773) * (IF('team lookup'!$B$3:$B$97 = "", 9999, 'team lookup'!$B$3:$B$97) &gt;= A773),
    'team lookup'!$E$3:$E$97,
    "Other"
)</f>
        <v>Other</v>
      </c>
      <c r="E773">
        <f t="shared" si="24"/>
        <v>0</v>
      </c>
      <c r="F773">
        <f t="shared" si="25"/>
        <v>0</v>
      </c>
    </row>
    <row r="774" spans="1:6" x14ac:dyDescent="0.35">
      <c r="A774">
        <v>2013</v>
      </c>
      <c r="B774">
        <v>152</v>
      </c>
      <c r="C774" t="s">
        <v>90</v>
      </c>
      <c r="D774" t="str" cm="1">
        <f t="array" ref="D774">_xlfn.XLOOKUP(1,
    ('team lookup'!$C$3:$C$97 = B774) * ('team lookup'!$A$3:$A$97 &lt;= A774) * (IF('team lookup'!$B$3:$B$97 = "", 9999, 'team lookup'!$B$3:$B$97) &gt;= A774),
    'team lookup'!$E$3:$E$97,
    "Other"
)</f>
        <v>ACC</v>
      </c>
      <c r="E774">
        <f t="shared" si="24"/>
        <v>1</v>
      </c>
      <c r="F774">
        <f t="shared" si="25"/>
        <v>1</v>
      </c>
    </row>
    <row r="775" spans="1:6" x14ac:dyDescent="0.35">
      <c r="A775">
        <v>2013</v>
      </c>
      <c r="B775">
        <v>167</v>
      </c>
      <c r="C775" t="s">
        <v>64</v>
      </c>
      <c r="D775" t="str" cm="1">
        <f t="array" ref="D775">_xlfn.XLOOKUP(1,
    ('team lookup'!$C$3:$C$97 = B775) * ('team lookup'!$A$3:$A$97 &lt;= A775) * (IF('team lookup'!$B$3:$B$97 = "", 9999, 'team lookup'!$B$3:$B$97) &gt;= A775),
    'team lookup'!$E$3:$E$97,
    "Other"
)</f>
        <v>Other</v>
      </c>
      <c r="E775">
        <f t="shared" si="24"/>
        <v>0</v>
      </c>
      <c r="F775">
        <f t="shared" si="25"/>
        <v>0</v>
      </c>
    </row>
    <row r="776" spans="1:6" x14ac:dyDescent="0.35">
      <c r="A776">
        <v>2013</v>
      </c>
      <c r="B776">
        <v>166</v>
      </c>
      <c r="C776" t="s">
        <v>65</v>
      </c>
      <c r="D776" t="str" cm="1">
        <f t="array" ref="D776">_xlfn.XLOOKUP(1,
    ('team lookup'!$C$3:$C$97 = B776) * ('team lookup'!$A$3:$A$97 &lt;= A776) * (IF('team lookup'!$B$3:$B$97 = "", 9999, 'team lookup'!$B$3:$B$97) &gt;= A776),
    'team lookup'!$E$3:$E$97,
    "Other"
)</f>
        <v>Other</v>
      </c>
      <c r="E776">
        <f t="shared" si="24"/>
        <v>0</v>
      </c>
      <c r="F776">
        <f t="shared" si="25"/>
        <v>0</v>
      </c>
    </row>
    <row r="777" spans="1:6" x14ac:dyDescent="0.35">
      <c r="A777">
        <v>2013</v>
      </c>
      <c r="B777">
        <v>153</v>
      </c>
      <c r="C777" t="s">
        <v>35</v>
      </c>
      <c r="D777" t="str" cm="1">
        <f t="array" ref="D777">_xlfn.XLOOKUP(1,
    ('team lookup'!$C$3:$C$97 = B777) * ('team lookup'!$A$3:$A$97 &lt;= A777) * (IF('team lookup'!$B$3:$B$97 = "", 9999, 'team lookup'!$B$3:$B$97) &gt;= A777),
    'team lookup'!$E$3:$E$97,
    "Other"
)</f>
        <v>ACC</v>
      </c>
      <c r="E777">
        <f t="shared" si="24"/>
        <v>1</v>
      </c>
      <c r="F777">
        <f t="shared" si="25"/>
        <v>1</v>
      </c>
    </row>
    <row r="778" spans="1:6" x14ac:dyDescent="0.35">
      <c r="A778">
        <v>2013</v>
      </c>
      <c r="B778">
        <v>87</v>
      </c>
      <c r="C778" t="s">
        <v>36</v>
      </c>
      <c r="D778" t="str" cm="1">
        <f t="array" ref="D778">_xlfn.XLOOKUP(1,
    ('team lookup'!$C$3:$C$97 = B778) * ('team lookup'!$A$3:$A$97 &lt;= A778) * (IF('team lookup'!$B$3:$B$97 = "", 9999, 'team lookup'!$B$3:$B$97) &gt;= A778),
    'team lookup'!$E$3:$E$97,
    "Other"
)</f>
        <v>Big East</v>
      </c>
      <c r="E778">
        <f t="shared" si="24"/>
        <v>0</v>
      </c>
      <c r="F778">
        <f t="shared" si="25"/>
        <v>1</v>
      </c>
    </row>
    <row r="779" spans="1:6" x14ac:dyDescent="0.35">
      <c r="A779">
        <v>2013</v>
      </c>
      <c r="B779">
        <v>2466</v>
      </c>
      <c r="C779" t="s">
        <v>212</v>
      </c>
      <c r="D779" t="str" cm="1">
        <f t="array" ref="D779">_xlfn.XLOOKUP(1,
    ('team lookup'!$C$3:$C$97 = B779) * ('team lookup'!$A$3:$A$97 &lt;= A779) * (IF('team lookup'!$B$3:$B$97 = "", 9999, 'team lookup'!$B$3:$B$97) &gt;= A779),
    'team lookup'!$E$3:$E$97,
    "Other"
)</f>
        <v>Other</v>
      </c>
      <c r="E779">
        <f t="shared" si="24"/>
        <v>0</v>
      </c>
      <c r="F779">
        <f t="shared" si="25"/>
        <v>0</v>
      </c>
    </row>
    <row r="780" spans="1:6" x14ac:dyDescent="0.35">
      <c r="A780">
        <v>2013</v>
      </c>
      <c r="B780">
        <v>194</v>
      </c>
      <c r="C780" t="s">
        <v>77</v>
      </c>
      <c r="D780" t="str" cm="1">
        <f t="array" ref="D780">_xlfn.XLOOKUP(1,
    ('team lookup'!$C$3:$C$97 = B780) * ('team lookup'!$A$3:$A$97 &lt;= A780) * (IF('team lookup'!$B$3:$B$97 = "", 9999, 'team lookup'!$B$3:$B$97) &gt;= A780),
    'team lookup'!$E$3:$E$97,
    "Other"
)</f>
        <v>Big Ten</v>
      </c>
      <c r="E780">
        <f t="shared" si="24"/>
        <v>0</v>
      </c>
      <c r="F780">
        <f t="shared" si="25"/>
        <v>1</v>
      </c>
    </row>
    <row r="781" spans="1:6" x14ac:dyDescent="0.35">
      <c r="A781">
        <v>2013</v>
      </c>
      <c r="B781">
        <v>201</v>
      </c>
      <c r="C781" t="s">
        <v>121</v>
      </c>
      <c r="D781" t="str" cm="1">
        <f t="array" ref="D781">_xlfn.XLOOKUP(1,
    ('team lookup'!$C$3:$C$97 = B781) * ('team lookup'!$A$3:$A$97 &lt;= A781) * (IF('team lookup'!$B$3:$B$97 = "", 9999, 'team lookup'!$B$3:$B$97) &gt;= A781),
    'team lookup'!$E$3:$E$97,
    "Other"
)</f>
        <v>Big12</v>
      </c>
      <c r="E781">
        <f t="shared" si="24"/>
        <v>1</v>
      </c>
      <c r="F781">
        <f t="shared" si="25"/>
        <v>1</v>
      </c>
    </row>
    <row r="782" spans="1:6" x14ac:dyDescent="0.35">
      <c r="A782">
        <v>2013</v>
      </c>
      <c r="B782">
        <v>197</v>
      </c>
      <c r="C782" t="s">
        <v>179</v>
      </c>
      <c r="D782" t="str" cm="1">
        <f t="array" ref="D782">_xlfn.XLOOKUP(1,
    ('team lookup'!$C$3:$C$97 = B782) * ('team lookup'!$A$3:$A$97 &lt;= A782) * (IF('team lookup'!$B$3:$B$97 = "", 9999, 'team lookup'!$B$3:$B$97) &gt;= A782),
    'team lookup'!$E$3:$E$97,
    "Other"
)</f>
        <v>Big12</v>
      </c>
      <c r="E782">
        <f t="shared" si="24"/>
        <v>1</v>
      </c>
      <c r="F782">
        <f t="shared" si="25"/>
        <v>1</v>
      </c>
    </row>
    <row r="783" spans="1:6" x14ac:dyDescent="0.35">
      <c r="A783">
        <v>2013</v>
      </c>
      <c r="B783">
        <v>145</v>
      </c>
      <c r="C783" t="s">
        <v>213</v>
      </c>
      <c r="D783" t="str" cm="1">
        <f t="array" ref="D783">_xlfn.XLOOKUP(1,
    ('team lookup'!$C$3:$C$97 = B783) * ('team lookup'!$A$3:$A$97 &lt;= A783) * (IF('team lookup'!$B$3:$B$97 = "", 9999, 'team lookup'!$B$3:$B$97) &gt;= A783),
    'team lookup'!$E$3:$E$97,
    "Other"
)</f>
        <v>SEC</v>
      </c>
      <c r="E783">
        <f t="shared" si="24"/>
        <v>1</v>
      </c>
      <c r="F783">
        <f t="shared" si="25"/>
        <v>1</v>
      </c>
    </row>
    <row r="784" spans="1:6" x14ac:dyDescent="0.35">
      <c r="A784">
        <v>2013</v>
      </c>
      <c r="B784">
        <v>2483</v>
      </c>
      <c r="C784" t="s">
        <v>122</v>
      </c>
      <c r="D784" t="str" cm="1">
        <f t="array" ref="D784">_xlfn.XLOOKUP(1,
    ('team lookup'!$C$3:$C$97 = B784) * ('team lookup'!$A$3:$A$97 &lt;= A784) * (IF('team lookup'!$B$3:$B$97 = "", 9999, 'team lookup'!$B$3:$B$97) &gt;= A784),
    'team lookup'!$E$3:$E$97,
    "Other"
)</f>
        <v>Other</v>
      </c>
      <c r="E784">
        <f t="shared" si="24"/>
        <v>0</v>
      </c>
      <c r="F784">
        <f t="shared" si="25"/>
        <v>0</v>
      </c>
    </row>
    <row r="785" spans="1:6" x14ac:dyDescent="0.35">
      <c r="A785">
        <v>2013</v>
      </c>
      <c r="B785">
        <v>279</v>
      </c>
      <c r="C785" t="s">
        <v>214</v>
      </c>
      <c r="D785" t="str" cm="1">
        <f t="array" ref="D785">_xlfn.XLOOKUP(1,
    ('team lookup'!$C$3:$C$97 = B785) * ('team lookup'!$A$3:$A$97 &lt;= A785) * (IF('team lookup'!$B$3:$B$97 = "", 9999, 'team lookup'!$B$3:$B$97) &gt;= A785),
    'team lookup'!$E$3:$E$97,
    "Other"
)</f>
        <v>Other</v>
      </c>
      <c r="E785">
        <f t="shared" si="24"/>
        <v>0</v>
      </c>
      <c r="F785">
        <f t="shared" si="25"/>
        <v>0</v>
      </c>
    </row>
    <row r="786" spans="1:6" x14ac:dyDescent="0.35">
      <c r="A786">
        <v>2013</v>
      </c>
      <c r="B786">
        <v>221</v>
      </c>
      <c r="C786" t="s">
        <v>152</v>
      </c>
      <c r="D786" t="str" cm="1">
        <f t="array" ref="D786">_xlfn.XLOOKUP(1,
    ('team lookup'!$C$3:$C$97 = B786) * ('team lookup'!$A$3:$A$97 &lt;= A786) * (IF('team lookup'!$B$3:$B$97 = "", 9999, 'team lookup'!$B$3:$B$97) &gt;= A786),
    'team lookup'!$E$3:$E$97,
    "Other"
)</f>
        <v>Big East</v>
      </c>
      <c r="E786">
        <f t="shared" si="24"/>
        <v>0</v>
      </c>
      <c r="F786">
        <f t="shared" si="25"/>
        <v>1</v>
      </c>
    </row>
    <row r="787" spans="1:6" x14ac:dyDescent="0.35">
      <c r="A787">
        <v>2013</v>
      </c>
      <c r="B787">
        <v>2571</v>
      </c>
      <c r="C787" t="s">
        <v>204</v>
      </c>
      <c r="D787" t="str" cm="1">
        <f t="array" ref="D787">_xlfn.XLOOKUP(1,
    ('team lookup'!$C$3:$C$97 = B787) * ('team lookup'!$A$3:$A$97 &lt;= A787) * (IF('team lookup'!$B$3:$B$97 = "", 9999, 'team lookup'!$B$3:$B$97) &gt;= A787),
    'team lookup'!$E$3:$E$97,
    "Other"
)</f>
        <v>Other</v>
      </c>
      <c r="E787">
        <f t="shared" si="24"/>
        <v>0</v>
      </c>
      <c r="F787">
        <f t="shared" si="25"/>
        <v>0</v>
      </c>
    </row>
    <row r="788" spans="1:6" x14ac:dyDescent="0.35">
      <c r="A788">
        <v>2013</v>
      </c>
      <c r="B788">
        <v>139</v>
      </c>
      <c r="C788" t="s">
        <v>205</v>
      </c>
      <c r="D788" t="str" cm="1">
        <f t="array" ref="D788">_xlfn.XLOOKUP(1,
    ('team lookup'!$C$3:$C$97 = B788) * ('team lookup'!$A$3:$A$97 &lt;= A788) * (IF('team lookup'!$B$3:$B$97 = "", 9999, 'team lookup'!$B$3:$B$97) &gt;= A788),
    'team lookup'!$E$3:$E$97,
    "Other"
)</f>
        <v>Other</v>
      </c>
      <c r="E788">
        <f t="shared" si="24"/>
        <v>0</v>
      </c>
      <c r="F788">
        <f t="shared" si="25"/>
        <v>0</v>
      </c>
    </row>
    <row r="789" spans="1:6" x14ac:dyDescent="0.35">
      <c r="A789">
        <v>2013</v>
      </c>
      <c r="B789">
        <v>2608</v>
      </c>
      <c r="C789" t="s">
        <v>156</v>
      </c>
      <c r="D789" t="str" cm="1">
        <f t="array" ref="D789">_xlfn.XLOOKUP(1,
    ('team lookup'!$C$3:$C$97 = B789) * ('team lookup'!$A$3:$A$97 &lt;= A789) * (IF('team lookup'!$B$3:$B$97 = "", 9999, 'team lookup'!$B$3:$B$97) &gt;= A789),
    'team lookup'!$E$3:$E$97,
    "Other"
)</f>
        <v>Other</v>
      </c>
      <c r="E789">
        <f t="shared" si="24"/>
        <v>0</v>
      </c>
      <c r="F789">
        <f t="shared" si="25"/>
        <v>0</v>
      </c>
    </row>
    <row r="790" spans="1:6" x14ac:dyDescent="0.35">
      <c r="A790">
        <v>2013</v>
      </c>
      <c r="B790">
        <v>21</v>
      </c>
      <c r="C790" t="s">
        <v>192</v>
      </c>
      <c r="D790" t="str" cm="1">
        <f t="array" ref="D790">_xlfn.XLOOKUP(1,
    ('team lookup'!$C$3:$C$97 = B790) * ('team lookup'!$A$3:$A$97 &lt;= A790) * (IF('team lookup'!$B$3:$B$97 = "", 9999, 'team lookup'!$B$3:$B$97) &gt;= A790),
    'team lookup'!$E$3:$E$97,
    "Other"
)</f>
        <v>Other</v>
      </c>
      <c r="E790">
        <f t="shared" si="24"/>
        <v>0</v>
      </c>
      <c r="F790">
        <f t="shared" si="25"/>
        <v>0</v>
      </c>
    </row>
    <row r="791" spans="1:6" x14ac:dyDescent="0.35">
      <c r="A791">
        <v>2013</v>
      </c>
      <c r="B791">
        <v>2582</v>
      </c>
      <c r="C791" t="s">
        <v>215</v>
      </c>
      <c r="D791" t="str" cm="1">
        <f t="array" ref="D791">_xlfn.XLOOKUP(1,
    ('team lookup'!$C$3:$C$97 = B791) * ('team lookup'!$A$3:$A$97 &lt;= A791) * (IF('team lookup'!$B$3:$B$97 = "", 9999, 'team lookup'!$B$3:$B$97) &gt;= A791),
    'team lookup'!$E$3:$E$97,
    "Other"
)</f>
        <v>Other</v>
      </c>
      <c r="E791">
        <f t="shared" si="24"/>
        <v>0</v>
      </c>
      <c r="F791">
        <f t="shared" si="25"/>
        <v>0</v>
      </c>
    </row>
    <row r="792" spans="1:6" x14ac:dyDescent="0.35">
      <c r="A792">
        <v>2013</v>
      </c>
      <c r="B792">
        <v>183</v>
      </c>
      <c r="C792" t="s">
        <v>183</v>
      </c>
      <c r="D792" t="str" cm="1">
        <f t="array" ref="D792">_xlfn.XLOOKUP(1,
    ('team lookup'!$C$3:$C$97 = B792) * ('team lookup'!$A$3:$A$97 &lt;= A792) * (IF('team lookup'!$B$3:$B$97 = "", 9999, 'team lookup'!$B$3:$B$97) &gt;= A792),
    'team lookup'!$E$3:$E$97,
    "Other"
)</f>
        <v>Big East</v>
      </c>
      <c r="E792">
        <f t="shared" si="24"/>
        <v>0</v>
      </c>
      <c r="F792">
        <f t="shared" si="25"/>
        <v>1</v>
      </c>
    </row>
    <row r="793" spans="1:6" x14ac:dyDescent="0.35">
      <c r="A793">
        <v>2013</v>
      </c>
      <c r="B793">
        <v>218</v>
      </c>
      <c r="C793" t="s">
        <v>161</v>
      </c>
      <c r="D793" t="str" cm="1">
        <f t="array" ref="D793">_xlfn.XLOOKUP(1,
    ('team lookup'!$C$3:$C$97 = B793) * ('team lookup'!$A$3:$A$97 &lt;= A793) * (IF('team lookup'!$B$3:$B$97 = "", 9999, 'team lookup'!$B$3:$B$97) &gt;= A793),
    'team lookup'!$E$3:$E$97,
    "Other"
)</f>
        <v>Other</v>
      </c>
      <c r="E793">
        <f t="shared" si="24"/>
        <v>0</v>
      </c>
      <c r="F793">
        <f t="shared" si="25"/>
        <v>0</v>
      </c>
    </row>
    <row r="794" spans="1:6" x14ac:dyDescent="0.35">
      <c r="A794">
        <v>2013</v>
      </c>
      <c r="B794">
        <v>26</v>
      </c>
      <c r="C794" t="s">
        <v>165</v>
      </c>
      <c r="D794" t="str" cm="1">
        <f t="array" ref="D794">_xlfn.XLOOKUP(1,
    ('team lookup'!$C$3:$C$97 = B794) * ('team lookup'!$A$3:$A$97 &lt;= A794) * (IF('team lookup'!$B$3:$B$97 = "", 9999, 'team lookup'!$B$3:$B$97) &gt;= A794),
    'team lookup'!$E$3:$E$97,
    "Other"
)</f>
        <v>Other</v>
      </c>
      <c r="E794">
        <f t="shared" si="24"/>
        <v>0</v>
      </c>
      <c r="F794">
        <f t="shared" si="25"/>
        <v>0</v>
      </c>
    </row>
    <row r="795" spans="1:6" x14ac:dyDescent="0.35">
      <c r="A795">
        <v>2013</v>
      </c>
      <c r="B795">
        <v>2439</v>
      </c>
      <c r="C795" t="s">
        <v>168</v>
      </c>
      <c r="D795" t="str" cm="1">
        <f t="array" ref="D795">_xlfn.XLOOKUP(1,
    ('team lookup'!$C$3:$C$97 = B795) * ('team lookup'!$A$3:$A$97 &lt;= A795) * (IF('team lookup'!$B$3:$B$97 = "", 9999, 'team lookup'!$B$3:$B$97) &gt;= A795),
    'team lookup'!$E$3:$E$97,
    "Other"
)</f>
        <v>Other</v>
      </c>
      <c r="E795">
        <f t="shared" si="24"/>
        <v>0</v>
      </c>
      <c r="F795">
        <f t="shared" si="25"/>
        <v>0</v>
      </c>
    </row>
    <row r="796" spans="1:6" x14ac:dyDescent="0.35">
      <c r="A796">
        <v>2013</v>
      </c>
      <c r="B796">
        <v>2674</v>
      </c>
      <c r="C796" t="s">
        <v>216</v>
      </c>
      <c r="D796" t="str" cm="1">
        <f t="array" ref="D796">_xlfn.XLOOKUP(1,
    ('team lookup'!$C$3:$C$97 = B796) * ('team lookup'!$A$3:$A$97 &lt;= A796) * (IF('team lookup'!$B$3:$B$97 = "", 9999, 'team lookup'!$B$3:$B$97) &gt;= A796),
    'team lookup'!$E$3:$E$97,
    "Other"
)</f>
        <v>Other</v>
      </c>
      <c r="E796">
        <f t="shared" si="24"/>
        <v>0</v>
      </c>
      <c r="F796">
        <f t="shared" si="25"/>
        <v>0</v>
      </c>
    </row>
    <row r="797" spans="1:6" x14ac:dyDescent="0.35">
      <c r="A797">
        <v>2013</v>
      </c>
      <c r="B797">
        <v>2670</v>
      </c>
      <c r="C797" t="s">
        <v>186</v>
      </c>
      <c r="D797" t="str" cm="1">
        <f t="array" ref="D797">_xlfn.XLOOKUP(1,
    ('team lookup'!$C$3:$C$97 = B797) * ('team lookup'!$A$3:$A$97 &lt;= A797) * (IF('team lookup'!$B$3:$B$97 = "", 9999, 'team lookup'!$B$3:$B$97) &gt;= A797),
    'team lookup'!$E$3:$E$97,
    "Other"
)</f>
        <v>Other</v>
      </c>
      <c r="E797">
        <f t="shared" si="24"/>
        <v>0</v>
      </c>
      <c r="F797">
        <f t="shared" si="25"/>
        <v>0</v>
      </c>
    </row>
    <row r="798" spans="1:6" x14ac:dyDescent="0.35">
      <c r="A798">
        <v>2013</v>
      </c>
      <c r="B798">
        <v>222</v>
      </c>
      <c r="C798" t="s">
        <v>172</v>
      </c>
      <c r="D798" t="str" cm="1">
        <f t="array" ref="D798">_xlfn.XLOOKUP(1,
    ('team lookup'!$C$3:$C$97 = B798) * ('team lookup'!$A$3:$A$97 &lt;= A798) * (IF('team lookup'!$B$3:$B$97 = "", 9999, 'team lookup'!$B$3:$B$97) &gt;= A798),
    'team lookup'!$E$3:$E$97,
    "Other"
)</f>
        <v>Big East</v>
      </c>
      <c r="E798">
        <f t="shared" si="24"/>
        <v>0</v>
      </c>
      <c r="F798">
        <f t="shared" si="25"/>
        <v>1</v>
      </c>
    </row>
    <row r="799" spans="1:6" x14ac:dyDescent="0.35">
      <c r="A799">
        <v>2013</v>
      </c>
      <c r="B799">
        <v>98</v>
      </c>
      <c r="C799" t="s">
        <v>175</v>
      </c>
      <c r="D799" t="str" cm="1">
        <f t="array" ref="D799">_xlfn.XLOOKUP(1,
    ('team lookup'!$C$3:$C$97 = B799) * ('team lookup'!$A$3:$A$97 &lt;= A799) * (IF('team lookup'!$B$3:$B$97 = "", 9999, 'team lookup'!$B$3:$B$97) &gt;= A799),
    'team lookup'!$E$3:$E$97,
    "Other"
)</f>
        <v>Other</v>
      </c>
      <c r="E799">
        <f t="shared" si="24"/>
        <v>0</v>
      </c>
      <c r="F799">
        <f t="shared" si="25"/>
        <v>0</v>
      </c>
    </row>
    <row r="800" spans="1:6" x14ac:dyDescent="0.35">
      <c r="A800">
        <v>2013</v>
      </c>
      <c r="B800">
        <v>2724</v>
      </c>
      <c r="C800" t="s">
        <v>210</v>
      </c>
      <c r="D800" t="str" cm="1">
        <f t="array" ref="D800">_xlfn.XLOOKUP(1,
    ('team lookup'!$C$3:$C$97 = B800) * ('team lookup'!$A$3:$A$97 &lt;= A800) * (IF('team lookup'!$B$3:$B$97 = "", 9999, 'team lookup'!$B$3:$B$97) &gt;= A800),
    'team lookup'!$E$3:$E$97,
    "Other"
)</f>
        <v>Other</v>
      </c>
      <c r="E800">
        <f t="shared" si="24"/>
        <v>0</v>
      </c>
      <c r="F800">
        <f t="shared" si="25"/>
        <v>0</v>
      </c>
    </row>
    <row r="801" spans="1:6" x14ac:dyDescent="0.35">
      <c r="A801">
        <v>2013</v>
      </c>
      <c r="B801">
        <v>275</v>
      </c>
      <c r="C801" t="s">
        <v>177</v>
      </c>
      <c r="D801" t="str" cm="1">
        <f t="array" ref="D801">_xlfn.XLOOKUP(1,
    ('team lookup'!$C$3:$C$97 = B801) * ('team lookup'!$A$3:$A$97 &lt;= A801) * (IF('team lookup'!$B$3:$B$97 = "", 9999, 'team lookup'!$B$3:$B$97) &gt;= A801),
    'team lookup'!$E$3:$E$97,
    "Other"
)</f>
        <v>Big Ten</v>
      </c>
      <c r="E801">
        <f t="shared" si="24"/>
        <v>0</v>
      </c>
      <c r="F801">
        <f t="shared" si="25"/>
        <v>1</v>
      </c>
    </row>
    <row r="802" spans="1:6" x14ac:dyDescent="0.35">
      <c r="A802">
        <v>2014</v>
      </c>
      <c r="B802">
        <v>167</v>
      </c>
      <c r="C802" t="s">
        <v>64</v>
      </c>
      <c r="D802" t="str" cm="1">
        <f t="array" ref="D802">_xlfn.XLOOKUP(1,
    ('team lookup'!$C$3:$C$97 = B802) * ('team lookup'!$A$3:$A$97 &lt;= A802) * (IF('team lookup'!$B$3:$B$97 = "", 9999, 'team lookup'!$B$3:$B$97) &gt;= A802),
    'team lookup'!$E$3:$E$97,
    "Other"
)</f>
        <v>Other</v>
      </c>
      <c r="E802">
        <f t="shared" si="24"/>
        <v>0</v>
      </c>
      <c r="F802">
        <f t="shared" si="25"/>
        <v>0</v>
      </c>
    </row>
    <row r="803" spans="1:6" x14ac:dyDescent="0.35">
      <c r="A803">
        <v>2014</v>
      </c>
      <c r="B803">
        <v>166</v>
      </c>
      <c r="C803" t="s">
        <v>65</v>
      </c>
      <c r="D803" t="str" cm="1">
        <f t="array" ref="D803">_xlfn.XLOOKUP(1,
    ('team lookup'!$C$3:$C$97 = B803) * ('team lookup'!$A$3:$A$97 &lt;= A803) * (IF('team lookup'!$B$3:$B$97 = "", 9999, 'team lookup'!$B$3:$B$97) &gt;= A803),
    'team lookup'!$E$3:$E$97,
    "Other"
)</f>
        <v>Other</v>
      </c>
      <c r="E803">
        <f t="shared" si="24"/>
        <v>0</v>
      </c>
      <c r="F803">
        <f t="shared" si="25"/>
        <v>0</v>
      </c>
    </row>
    <row r="804" spans="1:6" x14ac:dyDescent="0.35">
      <c r="A804">
        <v>2014</v>
      </c>
      <c r="B804">
        <v>153</v>
      </c>
      <c r="C804" t="s">
        <v>35</v>
      </c>
      <c r="D804" t="str" cm="1">
        <f t="array" ref="D804">_xlfn.XLOOKUP(1,
    ('team lookup'!$C$3:$C$97 = B804) * ('team lookup'!$A$3:$A$97 &lt;= A804) * (IF('team lookup'!$B$3:$B$97 = "", 9999, 'team lookup'!$B$3:$B$97) &gt;= A804),
    'team lookup'!$E$3:$E$97,
    "Other"
)</f>
        <v>ACC</v>
      </c>
      <c r="E804">
        <f t="shared" si="24"/>
        <v>1</v>
      </c>
      <c r="F804">
        <f t="shared" si="25"/>
        <v>1</v>
      </c>
    </row>
    <row r="805" spans="1:6" x14ac:dyDescent="0.35">
      <c r="A805">
        <v>2014</v>
      </c>
      <c r="B805">
        <v>194</v>
      </c>
      <c r="C805" t="s">
        <v>77</v>
      </c>
      <c r="D805" t="str" cm="1">
        <f t="array" ref="D805">_xlfn.XLOOKUP(1,
    ('team lookup'!$C$3:$C$97 = B805) * ('team lookup'!$A$3:$A$97 &lt;= A805) * (IF('team lookup'!$B$3:$B$97 = "", 9999, 'team lookup'!$B$3:$B$97) &gt;= A805),
    'team lookup'!$E$3:$E$97,
    "Other"
)</f>
        <v>Big Ten</v>
      </c>
      <c r="E805">
        <f t="shared" si="24"/>
        <v>0</v>
      </c>
      <c r="F805">
        <f t="shared" si="25"/>
        <v>1</v>
      </c>
    </row>
    <row r="806" spans="1:6" x14ac:dyDescent="0.35">
      <c r="A806">
        <v>2014</v>
      </c>
      <c r="B806">
        <v>201</v>
      </c>
      <c r="C806" t="s">
        <v>121</v>
      </c>
      <c r="D806" t="str" cm="1">
        <f t="array" ref="D806">_xlfn.XLOOKUP(1,
    ('team lookup'!$C$3:$C$97 = B806) * ('team lookup'!$A$3:$A$97 &lt;= A806) * (IF('team lookup'!$B$3:$B$97 = "", 9999, 'team lookup'!$B$3:$B$97) &gt;= A806),
    'team lookup'!$E$3:$E$97,
    "Other"
)</f>
        <v>Big12</v>
      </c>
      <c r="E806">
        <f t="shared" si="24"/>
        <v>1</v>
      </c>
      <c r="F806">
        <f t="shared" si="25"/>
        <v>1</v>
      </c>
    </row>
    <row r="807" spans="1:6" x14ac:dyDescent="0.35">
      <c r="A807">
        <v>2014</v>
      </c>
      <c r="B807">
        <v>197</v>
      </c>
      <c r="C807" t="s">
        <v>179</v>
      </c>
      <c r="D807" t="str" cm="1">
        <f t="array" ref="D807">_xlfn.XLOOKUP(1,
    ('team lookup'!$C$3:$C$97 = B807) * ('team lookup'!$A$3:$A$97 &lt;= A807) * (IF('team lookup'!$B$3:$B$97 = "", 9999, 'team lookup'!$B$3:$B$97) &gt;= A807),
    'team lookup'!$E$3:$E$97,
    "Other"
)</f>
        <v>Big12</v>
      </c>
      <c r="E807">
        <f t="shared" si="24"/>
        <v>1</v>
      </c>
      <c r="F807">
        <f t="shared" si="25"/>
        <v>1</v>
      </c>
    </row>
    <row r="808" spans="1:6" x14ac:dyDescent="0.35">
      <c r="A808">
        <v>2014</v>
      </c>
      <c r="B808">
        <v>2483</v>
      </c>
      <c r="C808" t="s">
        <v>122</v>
      </c>
      <c r="D808" t="str" cm="1">
        <f t="array" ref="D808">_xlfn.XLOOKUP(1,
    ('team lookup'!$C$3:$C$97 = B808) * ('team lookup'!$A$3:$A$97 &lt;= A808) * (IF('team lookup'!$B$3:$B$97 = "", 9999, 'team lookup'!$B$3:$B$97) &gt;= A808),
    'team lookup'!$E$3:$E$97,
    "Other"
)</f>
        <v>Other</v>
      </c>
      <c r="E808">
        <f t="shared" si="24"/>
        <v>0</v>
      </c>
      <c r="F808">
        <f t="shared" si="25"/>
        <v>0</v>
      </c>
    </row>
    <row r="809" spans="1:6" x14ac:dyDescent="0.35">
      <c r="A809">
        <v>2014</v>
      </c>
      <c r="B809">
        <v>221</v>
      </c>
      <c r="C809" t="s">
        <v>152</v>
      </c>
      <c r="D809" t="str" cm="1">
        <f t="array" ref="D809">_xlfn.XLOOKUP(1,
    ('team lookup'!$C$3:$C$97 = B809) * ('team lookup'!$A$3:$A$97 &lt;= A809) * (IF('team lookup'!$B$3:$B$97 = "", 9999, 'team lookup'!$B$3:$B$97) &gt;= A809),
    'team lookup'!$E$3:$E$97,
    "Other"
)</f>
        <v>ACC</v>
      </c>
      <c r="E809">
        <f t="shared" si="24"/>
        <v>1</v>
      </c>
      <c r="F809">
        <f t="shared" si="25"/>
        <v>1</v>
      </c>
    </row>
    <row r="810" spans="1:6" x14ac:dyDescent="0.35">
      <c r="A810">
        <v>2014</v>
      </c>
      <c r="B810">
        <v>2507</v>
      </c>
      <c r="C810" t="s">
        <v>217</v>
      </c>
      <c r="D810" t="str" cm="1">
        <f t="array" ref="D810">_xlfn.XLOOKUP(1,
    ('team lookup'!$C$3:$C$97 = B810) * ('team lookup'!$A$3:$A$97 &lt;= A810) * (IF('team lookup'!$B$3:$B$97 = "", 9999, 'team lookup'!$B$3:$B$97) &gt;= A810),
    'team lookup'!$E$3:$E$97,
    "Other"
)</f>
        <v>Big East</v>
      </c>
      <c r="E810">
        <f t="shared" si="24"/>
        <v>0</v>
      </c>
      <c r="F810">
        <f t="shared" si="25"/>
        <v>1</v>
      </c>
    </row>
    <row r="811" spans="1:6" x14ac:dyDescent="0.35">
      <c r="A811">
        <v>2014</v>
      </c>
      <c r="B811">
        <v>2603</v>
      </c>
      <c r="C811" t="s">
        <v>155</v>
      </c>
      <c r="D811" t="str" cm="1">
        <f t="array" ref="D811">_xlfn.XLOOKUP(1,
    ('team lookup'!$C$3:$C$97 = B811) * ('team lookup'!$A$3:$A$97 &lt;= A811) * (IF('team lookup'!$B$3:$B$97 = "", 9999, 'team lookup'!$B$3:$B$97) &gt;= A811),
    'team lookup'!$E$3:$E$97,
    "Other"
)</f>
        <v>Other</v>
      </c>
      <c r="E811">
        <f t="shared" si="24"/>
        <v>0</v>
      </c>
      <c r="F811">
        <f t="shared" si="25"/>
        <v>0</v>
      </c>
    </row>
    <row r="812" spans="1:6" x14ac:dyDescent="0.35">
      <c r="A812">
        <v>2014</v>
      </c>
      <c r="B812">
        <v>139</v>
      </c>
      <c r="C812" t="s">
        <v>205</v>
      </c>
      <c r="D812" t="str" cm="1">
        <f t="array" ref="D812">_xlfn.XLOOKUP(1,
    ('team lookup'!$C$3:$C$97 = B812) * ('team lookup'!$A$3:$A$97 &lt;= A812) * (IF('team lookup'!$B$3:$B$97 = "", 9999, 'team lookup'!$B$3:$B$97) &gt;= A812),
    'team lookup'!$E$3:$E$97,
    "Other"
)</f>
        <v>Other</v>
      </c>
      <c r="E812">
        <f t="shared" si="24"/>
        <v>0</v>
      </c>
      <c r="F812">
        <f t="shared" si="25"/>
        <v>0</v>
      </c>
    </row>
    <row r="813" spans="1:6" x14ac:dyDescent="0.35">
      <c r="A813">
        <v>2014</v>
      </c>
      <c r="B813">
        <v>21</v>
      </c>
      <c r="C813" t="s">
        <v>192</v>
      </c>
      <c r="D813" t="str" cm="1">
        <f t="array" ref="D813">_xlfn.XLOOKUP(1,
    ('team lookup'!$C$3:$C$97 = B813) * ('team lookup'!$A$3:$A$97 &lt;= A813) * (IF('team lookup'!$B$3:$B$97 = "", 9999, 'team lookup'!$B$3:$B$97) &gt;= A813),
    'team lookup'!$E$3:$E$97,
    "Other"
)</f>
        <v>Other</v>
      </c>
      <c r="E813">
        <f t="shared" si="24"/>
        <v>0</v>
      </c>
      <c r="F813">
        <f t="shared" si="25"/>
        <v>0</v>
      </c>
    </row>
    <row r="814" spans="1:6" x14ac:dyDescent="0.35">
      <c r="A814">
        <v>2014</v>
      </c>
      <c r="B814">
        <v>2617</v>
      </c>
      <c r="C814" t="s">
        <v>182</v>
      </c>
      <c r="D814" t="str" cm="1">
        <f t="array" ref="D814">_xlfn.XLOOKUP(1,
    ('team lookup'!$C$3:$C$97 = B814) * ('team lookup'!$A$3:$A$97 &lt;= A814) * (IF('team lookup'!$B$3:$B$97 = "", 9999, 'team lookup'!$B$3:$B$97) &gt;= A814),
    'team lookup'!$E$3:$E$97,
    "Other"
)</f>
        <v>Other</v>
      </c>
      <c r="E814">
        <f t="shared" si="24"/>
        <v>0</v>
      </c>
      <c r="F814">
        <f t="shared" si="25"/>
        <v>0</v>
      </c>
    </row>
    <row r="815" spans="1:6" x14ac:dyDescent="0.35">
      <c r="A815">
        <v>2014</v>
      </c>
      <c r="B815">
        <v>24</v>
      </c>
      <c r="C815" t="s">
        <v>160</v>
      </c>
      <c r="D815" t="str" cm="1">
        <f t="array" ref="D815">_xlfn.XLOOKUP(1,
    ('team lookup'!$C$3:$C$97 = B815) * ('team lookup'!$A$3:$A$97 &lt;= A815) * (IF('team lookup'!$B$3:$B$97 = "", 9999, 'team lookup'!$B$3:$B$97) &gt;= A815),
    'team lookup'!$E$3:$E$97,
    "Other"
)</f>
        <v>Other</v>
      </c>
      <c r="E815">
        <f t="shared" si="24"/>
        <v>0</v>
      </c>
      <c r="F815">
        <f t="shared" si="25"/>
        <v>0</v>
      </c>
    </row>
    <row r="816" spans="1:6" x14ac:dyDescent="0.35">
      <c r="A816">
        <v>2014</v>
      </c>
      <c r="B816">
        <v>183</v>
      </c>
      <c r="C816" t="s">
        <v>183</v>
      </c>
      <c r="D816" t="str" cm="1">
        <f t="array" ref="D816">_xlfn.XLOOKUP(1,
    ('team lookup'!$C$3:$C$97 = B816) * ('team lookup'!$A$3:$A$97 &lt;= A816) * (IF('team lookup'!$B$3:$B$97 = "", 9999, 'team lookup'!$B$3:$B$97) &gt;= A816),
    'team lookup'!$E$3:$E$97,
    "Other"
)</f>
        <v>ACC</v>
      </c>
      <c r="E816">
        <f t="shared" si="24"/>
        <v>1</v>
      </c>
      <c r="F816">
        <f t="shared" si="25"/>
        <v>1</v>
      </c>
    </row>
    <row r="817" spans="1:6" x14ac:dyDescent="0.35">
      <c r="A817">
        <v>2014</v>
      </c>
      <c r="B817">
        <v>2633</v>
      </c>
      <c r="C817" t="s">
        <v>162</v>
      </c>
      <c r="D817" t="str" cm="1">
        <f t="array" ref="D817">_xlfn.XLOOKUP(1,
    ('team lookup'!$C$3:$C$97 = B817) * ('team lookup'!$A$3:$A$97 &lt;= A817) * (IF('team lookup'!$B$3:$B$97 = "", 9999, 'team lookup'!$B$3:$B$97) &gt;= A817),
    'team lookup'!$E$3:$E$97,
    "Other"
)</f>
        <v>SEC</v>
      </c>
      <c r="E817">
        <f t="shared" si="24"/>
        <v>1</v>
      </c>
      <c r="F817">
        <f t="shared" si="25"/>
        <v>1</v>
      </c>
    </row>
    <row r="818" spans="1:6" x14ac:dyDescent="0.35">
      <c r="A818">
        <v>2014</v>
      </c>
      <c r="B818">
        <v>251</v>
      </c>
      <c r="C818" t="s">
        <v>163</v>
      </c>
      <c r="D818" t="str" cm="1">
        <f t="array" ref="D818">_xlfn.XLOOKUP(1,
    ('team lookup'!$C$3:$C$97 = B818) * ('team lookup'!$A$3:$A$97 &lt;= A818) * (IF('team lookup'!$B$3:$B$97 = "", 9999, 'team lookup'!$B$3:$B$97) &gt;= A818),
    'team lookup'!$E$3:$E$97,
    "Other"
)</f>
        <v>Big12</v>
      </c>
      <c r="E818">
        <f t="shared" si="24"/>
        <v>1</v>
      </c>
      <c r="F818">
        <f t="shared" si="25"/>
        <v>1</v>
      </c>
    </row>
    <row r="819" spans="1:6" x14ac:dyDescent="0.35">
      <c r="A819">
        <v>2014</v>
      </c>
      <c r="B819">
        <v>2640</v>
      </c>
      <c r="C819" t="s">
        <v>218</v>
      </c>
      <c r="D819" t="str" cm="1">
        <f t="array" ref="D819">_xlfn.XLOOKUP(1,
    ('team lookup'!$C$3:$C$97 = B819) * ('team lookup'!$A$3:$A$97 &lt;= A819) * (IF('team lookup'!$B$3:$B$97 = "", 9999, 'team lookup'!$B$3:$B$97) &gt;= A819),
    'team lookup'!$E$3:$E$97,
    "Other"
)</f>
        <v>Other</v>
      </c>
      <c r="E819">
        <f t="shared" si="24"/>
        <v>0</v>
      </c>
      <c r="F819">
        <f t="shared" si="25"/>
        <v>0</v>
      </c>
    </row>
    <row r="820" spans="1:6" x14ac:dyDescent="0.35">
      <c r="A820">
        <v>2014</v>
      </c>
      <c r="B820">
        <v>202</v>
      </c>
      <c r="C820" t="s">
        <v>219</v>
      </c>
      <c r="D820" t="str" cm="1">
        <f t="array" ref="D820">_xlfn.XLOOKUP(1,
    ('team lookup'!$C$3:$C$97 = B820) * ('team lookup'!$A$3:$A$97 &lt;= A820) * (IF('team lookup'!$B$3:$B$97 = "", 9999, 'team lookup'!$B$3:$B$97) &gt;= A820),
    'team lookup'!$E$3:$E$97,
    "Other"
)</f>
        <v>Other</v>
      </c>
      <c r="E820">
        <f t="shared" si="24"/>
        <v>0</v>
      </c>
      <c r="F820">
        <f t="shared" si="25"/>
        <v>0</v>
      </c>
    </row>
    <row r="821" spans="1:6" x14ac:dyDescent="0.35">
      <c r="A821">
        <v>2014</v>
      </c>
      <c r="B821">
        <v>26</v>
      </c>
      <c r="C821" t="s">
        <v>165</v>
      </c>
      <c r="D821" t="str" cm="1">
        <f t="array" ref="D821">_xlfn.XLOOKUP(1,
    ('team lookup'!$C$3:$C$97 = B821) * ('team lookup'!$A$3:$A$97 &lt;= A821) * (IF('team lookup'!$B$3:$B$97 = "", 9999, 'team lookup'!$B$3:$B$97) &gt;= A821),
    'team lookup'!$E$3:$E$97,
    "Other"
)</f>
        <v>Other</v>
      </c>
      <c r="E821">
        <f t="shared" si="24"/>
        <v>0</v>
      </c>
      <c r="F821">
        <f t="shared" si="25"/>
        <v>0</v>
      </c>
    </row>
    <row r="822" spans="1:6" x14ac:dyDescent="0.35">
      <c r="A822">
        <v>2014</v>
      </c>
      <c r="B822">
        <v>41</v>
      </c>
      <c r="C822" t="s">
        <v>166</v>
      </c>
      <c r="D822" t="str" cm="1">
        <f t="array" ref="D822">_xlfn.XLOOKUP(1,
    ('team lookup'!$C$3:$C$97 = B822) * ('team lookup'!$A$3:$A$97 &lt;= A822) * (IF('team lookup'!$B$3:$B$97 = "", 9999, 'team lookup'!$B$3:$B$97) &gt;= A822),
    'team lookup'!$E$3:$E$97,
    "Other"
)</f>
        <v>Other</v>
      </c>
      <c r="E822">
        <f t="shared" si="24"/>
        <v>0</v>
      </c>
      <c r="F822">
        <f t="shared" si="25"/>
        <v>0</v>
      </c>
    </row>
    <row r="823" spans="1:6" x14ac:dyDescent="0.35">
      <c r="A823">
        <v>2014</v>
      </c>
      <c r="B823">
        <v>113</v>
      </c>
      <c r="C823" t="s">
        <v>220</v>
      </c>
      <c r="D823" t="str" cm="1">
        <f t="array" ref="D823">_xlfn.XLOOKUP(1,
    ('team lookup'!$C$3:$C$97 = B823) * ('team lookup'!$A$3:$A$97 &lt;= A823) * (IF('team lookup'!$B$3:$B$97 = "", 9999, 'team lookup'!$B$3:$B$97) &gt;= A823),
    'team lookup'!$E$3:$E$97,
    "Other"
)</f>
        <v>Other</v>
      </c>
      <c r="E823">
        <f t="shared" si="24"/>
        <v>0</v>
      </c>
      <c r="F823">
        <f t="shared" si="25"/>
        <v>0</v>
      </c>
    </row>
    <row r="824" spans="1:6" x14ac:dyDescent="0.35">
      <c r="A824">
        <v>2014</v>
      </c>
      <c r="B824">
        <v>2670</v>
      </c>
      <c r="C824" t="s">
        <v>186</v>
      </c>
      <c r="D824" t="str" cm="1">
        <f t="array" ref="D824">_xlfn.XLOOKUP(1,
    ('team lookup'!$C$3:$C$97 = B824) * ('team lookup'!$A$3:$A$97 &lt;= A824) * (IF('team lookup'!$B$3:$B$97 = "", 9999, 'team lookup'!$B$3:$B$97) &gt;= A824),
    'team lookup'!$E$3:$E$97,
    "Other"
)</f>
        <v>Other</v>
      </c>
      <c r="E824">
        <f t="shared" si="24"/>
        <v>0</v>
      </c>
      <c r="F824">
        <f t="shared" si="25"/>
        <v>0</v>
      </c>
    </row>
    <row r="825" spans="1:6" x14ac:dyDescent="0.35">
      <c r="A825">
        <v>2014</v>
      </c>
      <c r="B825">
        <v>222</v>
      </c>
      <c r="C825" t="s">
        <v>172</v>
      </c>
      <c r="D825" t="str" cm="1">
        <f t="array" ref="D825">_xlfn.XLOOKUP(1,
    ('team lookup'!$C$3:$C$97 = B825) * ('team lookup'!$A$3:$A$97 &lt;= A825) * (IF('team lookup'!$B$3:$B$97 = "", 9999, 'team lookup'!$B$3:$B$97) &gt;= A825),
    'team lookup'!$E$3:$E$97,
    "Other"
)</f>
        <v>Big East</v>
      </c>
      <c r="E825">
        <f t="shared" si="24"/>
        <v>0</v>
      </c>
      <c r="F825">
        <f t="shared" si="25"/>
        <v>1</v>
      </c>
    </row>
    <row r="826" spans="1:6" x14ac:dyDescent="0.35">
      <c r="A826">
        <v>2014</v>
      </c>
      <c r="B826">
        <v>258</v>
      </c>
      <c r="C826" t="s">
        <v>209</v>
      </c>
      <c r="D826" t="str" cm="1">
        <f t="array" ref="D826">_xlfn.XLOOKUP(1,
    ('team lookup'!$C$3:$C$97 = B826) * ('team lookup'!$A$3:$A$97 &lt;= A826) * (IF('team lookup'!$B$3:$B$97 = "", 9999, 'team lookup'!$B$3:$B$97) &gt;= A826),
    'team lookup'!$E$3:$E$97,
    "Other"
)</f>
        <v>ACC</v>
      </c>
      <c r="E826">
        <f t="shared" si="24"/>
        <v>1</v>
      </c>
      <c r="F826">
        <f t="shared" si="25"/>
        <v>1</v>
      </c>
    </row>
    <row r="827" spans="1:6" x14ac:dyDescent="0.35">
      <c r="A827">
        <v>2014</v>
      </c>
      <c r="B827">
        <v>2711</v>
      </c>
      <c r="C827" t="s">
        <v>221</v>
      </c>
      <c r="D827" t="str" cm="1">
        <f t="array" ref="D827">_xlfn.XLOOKUP(1,
    ('team lookup'!$C$3:$C$97 = B827) * ('team lookup'!$A$3:$A$97 &lt;= A827) * (IF('team lookup'!$B$3:$B$97 = "", 9999, 'team lookup'!$B$3:$B$97) &gt;= A827),
    'team lookup'!$E$3:$E$97,
    "Other"
)</f>
        <v>Other</v>
      </c>
      <c r="E827">
        <f t="shared" si="24"/>
        <v>0</v>
      </c>
      <c r="F827">
        <f t="shared" si="25"/>
        <v>0</v>
      </c>
    </row>
    <row r="828" spans="1:6" x14ac:dyDescent="0.35">
      <c r="A828">
        <v>2014</v>
      </c>
      <c r="B828">
        <v>2692</v>
      </c>
      <c r="C828" t="s">
        <v>222</v>
      </c>
      <c r="D828" t="str" cm="1">
        <f t="array" ref="D828">_xlfn.XLOOKUP(1,
    ('team lookup'!$C$3:$C$97 = B828) * ('team lookup'!$A$3:$A$97 &lt;= A828) * (IF('team lookup'!$B$3:$B$97 = "", 9999, 'team lookup'!$B$3:$B$97) &gt;= A828),
    'team lookup'!$E$3:$E$97,
    "Other"
)</f>
        <v>Other</v>
      </c>
      <c r="E828">
        <f t="shared" si="24"/>
        <v>0</v>
      </c>
      <c r="F828">
        <f t="shared" si="25"/>
        <v>0</v>
      </c>
    </row>
    <row r="829" spans="1:6" x14ac:dyDescent="0.35">
      <c r="A829">
        <v>2014</v>
      </c>
      <c r="B829">
        <v>2724</v>
      </c>
      <c r="C829" t="s">
        <v>210</v>
      </c>
      <c r="D829" t="str" cm="1">
        <f t="array" ref="D829">_xlfn.XLOOKUP(1,
    ('team lookup'!$C$3:$C$97 = B829) * ('team lookup'!$A$3:$A$97 &lt;= A829) * (IF('team lookup'!$B$3:$B$97 = "", 9999, 'team lookup'!$B$3:$B$97) &gt;= A829),
    'team lookup'!$E$3:$E$97,
    "Other"
)</f>
        <v>Other</v>
      </c>
      <c r="E829">
        <f t="shared" si="24"/>
        <v>0</v>
      </c>
      <c r="F829">
        <f t="shared" si="25"/>
        <v>0</v>
      </c>
    </row>
    <row r="830" spans="1:6" x14ac:dyDescent="0.35">
      <c r="A830">
        <v>2014</v>
      </c>
      <c r="B830">
        <v>275</v>
      </c>
      <c r="C830" t="s">
        <v>177</v>
      </c>
      <c r="D830" t="str" cm="1">
        <f t="array" ref="D830">_xlfn.XLOOKUP(1,
    ('team lookup'!$C$3:$C$97 = B830) * ('team lookup'!$A$3:$A$97 &lt;= A830) * (IF('team lookup'!$B$3:$B$97 = "", 9999, 'team lookup'!$B$3:$B$97) &gt;= A830),
    'team lookup'!$E$3:$E$97,
    "Other"
)</f>
        <v>Big Ten</v>
      </c>
      <c r="E830">
        <f t="shared" si="24"/>
        <v>0</v>
      </c>
      <c r="F830">
        <f t="shared" si="25"/>
        <v>1</v>
      </c>
    </row>
    <row r="831" spans="1:6" x14ac:dyDescent="0.35">
      <c r="A831">
        <v>2014</v>
      </c>
      <c r="B831">
        <v>2747</v>
      </c>
      <c r="C831" t="s">
        <v>196</v>
      </c>
      <c r="D831" t="str" cm="1">
        <f t="array" ref="D831">_xlfn.XLOOKUP(1,
    ('team lookup'!$C$3:$C$97 = B831) * ('team lookup'!$A$3:$A$97 &lt;= A831) * (IF('team lookup'!$B$3:$B$97 = "", 9999, 'team lookup'!$B$3:$B$97) &gt;= A831),
    'team lookup'!$E$3:$E$97,
    "Other"
)</f>
        <v>Other</v>
      </c>
      <c r="E831">
        <f t="shared" si="24"/>
        <v>0</v>
      </c>
      <c r="F831">
        <f t="shared" si="25"/>
        <v>0</v>
      </c>
    </row>
    <row r="832" spans="1:6" x14ac:dyDescent="0.35">
      <c r="A832">
        <v>2014</v>
      </c>
      <c r="B832">
        <v>2752</v>
      </c>
      <c r="C832" t="s">
        <v>178</v>
      </c>
      <c r="D832" t="str" cm="1">
        <f t="array" ref="D832">_xlfn.XLOOKUP(1,
    ('team lookup'!$C$3:$C$97 = B832) * ('team lookup'!$A$3:$A$97 &lt;= A832) * (IF('team lookup'!$B$3:$B$97 = "", 9999, 'team lookup'!$B$3:$B$97) &gt;= A832),
    'team lookup'!$E$3:$E$97,
    "Other"
)</f>
        <v>Big East</v>
      </c>
      <c r="E832">
        <f t="shared" si="24"/>
        <v>0</v>
      </c>
      <c r="F832">
        <f t="shared" si="25"/>
        <v>1</v>
      </c>
    </row>
    <row r="833" spans="1:6" x14ac:dyDescent="0.35">
      <c r="A833">
        <v>2015</v>
      </c>
      <c r="B833">
        <v>111</v>
      </c>
      <c r="C833" t="s">
        <v>223</v>
      </c>
      <c r="D833" t="str" cm="1">
        <f t="array" ref="D833">_xlfn.XLOOKUP(1,
    ('team lookup'!$C$3:$C$97 = B833) * ('team lookup'!$A$3:$A$97 &lt;= A833) * (IF('team lookup'!$B$3:$B$97 = "", 9999, 'team lookup'!$B$3:$B$97) &gt;= A833),
    'team lookup'!$E$3:$E$97,
    "Other"
)</f>
        <v>Other</v>
      </c>
      <c r="E833">
        <f t="shared" si="24"/>
        <v>0</v>
      </c>
      <c r="F833">
        <f t="shared" si="25"/>
        <v>0</v>
      </c>
    </row>
    <row r="834" spans="1:6" x14ac:dyDescent="0.35">
      <c r="A834">
        <v>2015</v>
      </c>
      <c r="B834">
        <v>2460</v>
      </c>
      <c r="C834" t="s">
        <v>67</v>
      </c>
      <c r="D834" t="str" cm="1">
        <f t="array" ref="D834">_xlfn.XLOOKUP(1,
    ('team lookup'!$C$3:$C$97 = B834) * ('team lookup'!$A$3:$A$97 &lt;= A834) * (IF('team lookup'!$B$3:$B$97 = "", 9999, 'team lookup'!$B$3:$B$97) &gt;= A834),
    'team lookup'!$E$3:$E$97,
    "Other"
)</f>
        <v>Other</v>
      </c>
      <c r="E834">
        <f t="shared" si="24"/>
        <v>0</v>
      </c>
      <c r="F834">
        <f t="shared" si="25"/>
        <v>0</v>
      </c>
    </row>
    <row r="835" spans="1:6" x14ac:dyDescent="0.35">
      <c r="A835">
        <v>2015</v>
      </c>
      <c r="B835">
        <v>87</v>
      </c>
      <c r="C835" t="s">
        <v>36</v>
      </c>
      <c r="D835" t="str" cm="1">
        <f t="array" ref="D835">_xlfn.XLOOKUP(1,
    ('team lookup'!$C$3:$C$97 = B835) * ('team lookup'!$A$3:$A$97 &lt;= A835) * (IF('team lookup'!$B$3:$B$97 = "", 9999, 'team lookup'!$B$3:$B$97) &gt;= A835),
    'team lookup'!$E$3:$E$97,
    "Other"
)</f>
        <v>ACC</v>
      </c>
      <c r="E835">
        <f t="shared" ref="E835:E898" si="26">IF(OR(D835="ACC", D835="SEC", D835="Big12"), 1,0)</f>
        <v>1</v>
      </c>
      <c r="F835">
        <f t="shared" ref="F835:F898" si="27">IF(D835&lt;&gt;"Other", 1,0)</f>
        <v>1</v>
      </c>
    </row>
    <row r="836" spans="1:6" x14ac:dyDescent="0.35">
      <c r="A836">
        <v>2015</v>
      </c>
      <c r="B836">
        <v>194</v>
      </c>
      <c r="C836" t="s">
        <v>77</v>
      </c>
      <c r="D836" t="str" cm="1">
        <f t="array" ref="D836">_xlfn.XLOOKUP(1,
    ('team lookup'!$C$3:$C$97 = B836) * ('team lookup'!$A$3:$A$97 &lt;= A836) * (IF('team lookup'!$B$3:$B$97 = "", 9999, 'team lookup'!$B$3:$B$97) &gt;= A836),
    'team lookup'!$E$3:$E$97,
    "Other"
)</f>
        <v>Big Ten</v>
      </c>
      <c r="E836">
        <f t="shared" si="26"/>
        <v>0</v>
      </c>
      <c r="F836">
        <f t="shared" si="27"/>
        <v>1</v>
      </c>
    </row>
    <row r="837" spans="1:6" x14ac:dyDescent="0.35">
      <c r="A837">
        <v>2015</v>
      </c>
      <c r="B837">
        <v>201</v>
      </c>
      <c r="C837" t="s">
        <v>121</v>
      </c>
      <c r="D837" t="str" cm="1">
        <f t="array" ref="D837">_xlfn.XLOOKUP(1,
    ('team lookup'!$C$3:$C$97 = B837) * ('team lookup'!$A$3:$A$97 &lt;= A837) * (IF('team lookup'!$B$3:$B$97 = "", 9999, 'team lookup'!$B$3:$B$97) &gt;= A837),
    'team lookup'!$E$3:$E$97,
    "Other"
)</f>
        <v>Big12</v>
      </c>
      <c r="E837">
        <f t="shared" si="26"/>
        <v>1</v>
      </c>
      <c r="F837">
        <f t="shared" si="27"/>
        <v>1</v>
      </c>
    </row>
    <row r="838" spans="1:6" x14ac:dyDescent="0.35">
      <c r="A838">
        <v>2015</v>
      </c>
      <c r="B838">
        <v>197</v>
      </c>
      <c r="C838" t="s">
        <v>179</v>
      </c>
      <c r="D838" t="str" cm="1">
        <f t="array" ref="D838">_xlfn.XLOOKUP(1,
    ('team lookup'!$C$3:$C$97 = B838) * ('team lookup'!$A$3:$A$97 &lt;= A838) * (IF('team lookup'!$B$3:$B$97 = "", 9999, 'team lookup'!$B$3:$B$97) &gt;= A838),
    'team lookup'!$E$3:$E$97,
    "Other"
)</f>
        <v>Big12</v>
      </c>
      <c r="E838">
        <f t="shared" si="26"/>
        <v>1</v>
      </c>
      <c r="F838">
        <f t="shared" si="27"/>
        <v>1</v>
      </c>
    </row>
    <row r="839" spans="1:6" x14ac:dyDescent="0.35">
      <c r="A839">
        <v>2015</v>
      </c>
      <c r="B839">
        <v>145</v>
      </c>
      <c r="C839" t="s">
        <v>213</v>
      </c>
      <c r="D839" t="str" cm="1">
        <f t="array" ref="D839">_xlfn.XLOOKUP(1,
    ('team lookup'!$C$3:$C$97 = B839) * ('team lookup'!$A$3:$A$97 &lt;= A839) * (IF('team lookup'!$B$3:$B$97 = "", 9999, 'team lookup'!$B$3:$B$97) &gt;= A839),
    'team lookup'!$E$3:$E$97,
    "Other"
)</f>
        <v>SEC</v>
      </c>
      <c r="E839">
        <f t="shared" si="26"/>
        <v>1</v>
      </c>
      <c r="F839">
        <f t="shared" si="27"/>
        <v>1</v>
      </c>
    </row>
    <row r="840" spans="1:6" x14ac:dyDescent="0.35">
      <c r="A840">
        <v>2015</v>
      </c>
      <c r="B840">
        <v>2483</v>
      </c>
      <c r="C840" t="s">
        <v>122</v>
      </c>
      <c r="D840" t="str" cm="1">
        <f t="array" ref="D840">_xlfn.XLOOKUP(1,
    ('team lookup'!$C$3:$C$97 = B840) * ('team lookup'!$A$3:$A$97 &lt;= A840) * (IF('team lookup'!$B$3:$B$97 = "", 9999, 'team lookup'!$B$3:$B$97) &gt;= A840),
    'team lookup'!$E$3:$E$97,
    "Other"
)</f>
        <v>Other</v>
      </c>
      <c r="E840">
        <f t="shared" si="26"/>
        <v>0</v>
      </c>
      <c r="F840">
        <f t="shared" si="27"/>
        <v>0</v>
      </c>
    </row>
    <row r="841" spans="1:6" x14ac:dyDescent="0.35">
      <c r="A841">
        <v>2015</v>
      </c>
      <c r="B841">
        <v>2507</v>
      </c>
      <c r="C841" t="s">
        <v>217</v>
      </c>
      <c r="D841" t="str" cm="1">
        <f t="array" ref="D841">_xlfn.XLOOKUP(1,
    ('team lookup'!$C$3:$C$97 = B841) * ('team lookup'!$A$3:$A$97 &lt;= A841) * (IF('team lookup'!$B$3:$B$97 = "", 9999, 'team lookup'!$B$3:$B$97) &gt;= A841),
    'team lookup'!$E$3:$E$97,
    "Other"
)</f>
        <v>Big East</v>
      </c>
      <c r="E841">
        <f t="shared" si="26"/>
        <v>0</v>
      </c>
      <c r="F841">
        <f t="shared" si="27"/>
        <v>1</v>
      </c>
    </row>
    <row r="842" spans="1:6" x14ac:dyDescent="0.35">
      <c r="A842">
        <v>2015</v>
      </c>
      <c r="B842">
        <v>2509</v>
      </c>
      <c r="C842" t="s">
        <v>154</v>
      </c>
      <c r="D842" t="str" cm="1">
        <f t="array" ref="D842">_xlfn.XLOOKUP(1,
    ('team lookup'!$C$3:$C$97 = B842) * ('team lookup'!$A$3:$A$97 &lt;= A842) * (IF('team lookup'!$B$3:$B$97 = "", 9999, 'team lookup'!$B$3:$B$97) &gt;= A842),
    'team lookup'!$E$3:$E$97,
    "Other"
)</f>
        <v>Big Ten</v>
      </c>
      <c r="E842">
        <f t="shared" si="26"/>
        <v>0</v>
      </c>
      <c r="F842">
        <f t="shared" si="27"/>
        <v>1</v>
      </c>
    </row>
    <row r="843" spans="1:6" x14ac:dyDescent="0.35">
      <c r="A843">
        <v>2015</v>
      </c>
      <c r="B843">
        <v>2523</v>
      </c>
      <c r="C843" t="s">
        <v>181</v>
      </c>
      <c r="D843" t="str" cm="1">
        <f t="array" ref="D843">_xlfn.XLOOKUP(1,
    ('team lookup'!$C$3:$C$97 = B843) * ('team lookup'!$A$3:$A$97 &lt;= A843) * (IF('team lookup'!$B$3:$B$97 = "", 9999, 'team lookup'!$B$3:$B$97) &gt;= A843),
    'team lookup'!$E$3:$E$97,
    "Other"
)</f>
        <v>Other</v>
      </c>
      <c r="E843">
        <f t="shared" si="26"/>
        <v>0</v>
      </c>
      <c r="F843">
        <f t="shared" si="27"/>
        <v>0</v>
      </c>
    </row>
    <row r="844" spans="1:6" x14ac:dyDescent="0.35">
      <c r="A844">
        <v>2015</v>
      </c>
      <c r="B844">
        <v>21</v>
      </c>
      <c r="C844" t="s">
        <v>192</v>
      </c>
      <c r="D844" t="str" cm="1">
        <f t="array" ref="D844">_xlfn.XLOOKUP(1,
    ('team lookup'!$C$3:$C$97 = B844) * ('team lookup'!$A$3:$A$97 &lt;= A844) * (IF('team lookup'!$B$3:$B$97 = "", 9999, 'team lookup'!$B$3:$B$97) &gt;= A844),
    'team lookup'!$E$3:$E$97,
    "Other"
)</f>
        <v>Other</v>
      </c>
      <c r="E844">
        <f t="shared" si="26"/>
        <v>0</v>
      </c>
      <c r="F844">
        <f t="shared" si="27"/>
        <v>0</v>
      </c>
    </row>
    <row r="845" spans="1:6" x14ac:dyDescent="0.35">
      <c r="A845">
        <v>2015</v>
      </c>
      <c r="B845">
        <v>2617</v>
      </c>
      <c r="C845" t="s">
        <v>182</v>
      </c>
      <c r="D845" t="str" cm="1">
        <f t="array" ref="D845">_xlfn.XLOOKUP(1,
    ('team lookup'!$C$3:$C$97 = B845) * ('team lookup'!$A$3:$A$97 &lt;= A845) * (IF('team lookup'!$B$3:$B$97 = "", 9999, 'team lookup'!$B$3:$B$97) &gt;= A845),
    'team lookup'!$E$3:$E$97,
    "Other"
)</f>
        <v>Other</v>
      </c>
      <c r="E845">
        <f t="shared" si="26"/>
        <v>0</v>
      </c>
      <c r="F845">
        <f t="shared" si="27"/>
        <v>0</v>
      </c>
    </row>
    <row r="846" spans="1:6" x14ac:dyDescent="0.35">
      <c r="A846">
        <v>2015</v>
      </c>
      <c r="B846">
        <v>2567</v>
      </c>
      <c r="C846" t="s">
        <v>224</v>
      </c>
      <c r="D846" t="str" cm="1">
        <f t="array" ref="D846">_xlfn.XLOOKUP(1,
    ('team lookup'!$C$3:$C$97 = B846) * ('team lookup'!$A$3:$A$97 &lt;= A846) * (IF('team lookup'!$B$3:$B$97 = "", 9999, 'team lookup'!$B$3:$B$97) &gt;= A846),
    'team lookup'!$E$3:$E$97,
    "Other"
)</f>
        <v>Other</v>
      </c>
      <c r="E846">
        <f t="shared" si="26"/>
        <v>0</v>
      </c>
      <c r="F846">
        <f t="shared" si="27"/>
        <v>0</v>
      </c>
    </row>
    <row r="847" spans="1:6" x14ac:dyDescent="0.35">
      <c r="A847">
        <v>2015</v>
      </c>
      <c r="B847">
        <v>2599</v>
      </c>
      <c r="C847" t="s">
        <v>200</v>
      </c>
      <c r="D847" t="str" cm="1">
        <f t="array" ref="D847">_xlfn.XLOOKUP(1,
    ('team lookup'!$C$3:$C$97 = B847) * ('team lookup'!$A$3:$A$97 &lt;= A847) * (IF('team lookup'!$B$3:$B$97 = "", 9999, 'team lookup'!$B$3:$B$97) &gt;= A847),
    'team lookup'!$E$3:$E$97,
    "Other"
)</f>
        <v>Big East</v>
      </c>
      <c r="E847">
        <f t="shared" si="26"/>
        <v>0</v>
      </c>
      <c r="F847">
        <f t="shared" si="27"/>
        <v>1</v>
      </c>
    </row>
    <row r="848" spans="1:6" x14ac:dyDescent="0.35">
      <c r="A848">
        <v>2015</v>
      </c>
      <c r="B848">
        <v>251</v>
      </c>
      <c r="C848" t="s">
        <v>163</v>
      </c>
      <c r="D848" t="str" cm="1">
        <f t="array" ref="D848">_xlfn.XLOOKUP(1,
    ('team lookup'!$C$3:$C$97 = B848) * ('team lookup'!$A$3:$A$97 &lt;= A848) * (IF('team lookup'!$B$3:$B$97 = "", 9999, 'team lookup'!$B$3:$B$97) &gt;= A848),
    'team lookup'!$E$3:$E$97,
    "Other"
)</f>
        <v>Big12</v>
      </c>
      <c r="E848">
        <f t="shared" si="26"/>
        <v>1</v>
      </c>
      <c r="F848">
        <f t="shared" si="27"/>
        <v>1</v>
      </c>
    </row>
    <row r="849" spans="1:6" x14ac:dyDescent="0.35">
      <c r="A849">
        <v>2015</v>
      </c>
      <c r="B849">
        <v>2640</v>
      </c>
      <c r="C849" t="s">
        <v>218</v>
      </c>
      <c r="D849" t="str" cm="1">
        <f t="array" ref="D849">_xlfn.XLOOKUP(1,
    ('team lookup'!$C$3:$C$97 = B849) * ('team lookup'!$A$3:$A$97 &lt;= A849) * (IF('team lookup'!$B$3:$B$97 = "", 9999, 'team lookup'!$B$3:$B$97) &gt;= A849),
    'team lookup'!$E$3:$E$97,
    "Other"
)</f>
        <v>Other</v>
      </c>
      <c r="E849">
        <f t="shared" si="26"/>
        <v>0</v>
      </c>
      <c r="F849">
        <f t="shared" si="27"/>
        <v>0</v>
      </c>
    </row>
    <row r="850" spans="1:6" x14ac:dyDescent="0.35">
      <c r="A850">
        <v>2015</v>
      </c>
      <c r="B850">
        <v>5</v>
      </c>
      <c r="C850" t="s">
        <v>201</v>
      </c>
      <c r="D850" t="str" cm="1">
        <f t="array" ref="D850">_xlfn.XLOOKUP(1,
    ('team lookup'!$C$3:$C$97 = B850) * ('team lookup'!$A$3:$A$97 &lt;= A850) * (IF('team lookup'!$B$3:$B$97 = "", 9999, 'team lookup'!$B$3:$B$97) &gt;= A850),
    'team lookup'!$E$3:$E$97,
    "Other"
)</f>
        <v>Other</v>
      </c>
      <c r="E850">
        <f t="shared" si="26"/>
        <v>0</v>
      </c>
      <c r="F850">
        <f t="shared" si="27"/>
        <v>0</v>
      </c>
    </row>
    <row r="851" spans="1:6" x14ac:dyDescent="0.35">
      <c r="A851">
        <v>2015</v>
      </c>
      <c r="B851">
        <v>300</v>
      </c>
      <c r="C851" t="s">
        <v>225</v>
      </c>
      <c r="D851" t="str" cm="1">
        <f t="array" ref="D851">_xlfn.XLOOKUP(1,
    ('team lookup'!$C$3:$C$97 = B851) * ('team lookup'!$A$3:$A$97 &lt;= A851) * (IF('team lookup'!$B$3:$B$97 = "", 9999, 'team lookup'!$B$3:$B$97) &gt;= A851),
    'team lookup'!$E$3:$E$97,
    "Other"
)</f>
        <v>Other</v>
      </c>
      <c r="E851">
        <f t="shared" si="26"/>
        <v>0</v>
      </c>
      <c r="F851">
        <f t="shared" si="27"/>
        <v>0</v>
      </c>
    </row>
    <row r="852" spans="1:6" x14ac:dyDescent="0.35">
      <c r="A852">
        <v>2015</v>
      </c>
      <c r="B852">
        <v>26</v>
      </c>
      <c r="C852" t="s">
        <v>165</v>
      </c>
      <c r="D852" t="str" cm="1">
        <f t="array" ref="D852">_xlfn.XLOOKUP(1,
    ('team lookup'!$C$3:$C$97 = B852) * ('team lookup'!$A$3:$A$97 &lt;= A852) * (IF('team lookup'!$B$3:$B$97 = "", 9999, 'team lookup'!$B$3:$B$97) &gt;= A852),
    'team lookup'!$E$3:$E$97,
    "Other"
)</f>
        <v>Other</v>
      </c>
      <c r="E852">
        <f t="shared" si="26"/>
        <v>0</v>
      </c>
      <c r="F852">
        <f t="shared" si="27"/>
        <v>0</v>
      </c>
    </row>
    <row r="853" spans="1:6" x14ac:dyDescent="0.35">
      <c r="A853">
        <v>2015</v>
      </c>
      <c r="B853">
        <v>254</v>
      </c>
      <c r="C853" t="s">
        <v>184</v>
      </c>
      <c r="D853" t="str" cm="1">
        <f t="array" ref="D853">_xlfn.XLOOKUP(1,
    ('team lookup'!$C$3:$C$97 = B853) * ('team lookup'!$A$3:$A$97 &lt;= A853) * (IF('team lookup'!$B$3:$B$97 = "", 9999, 'team lookup'!$B$3:$B$97) &gt;= A853),
    'team lookup'!$E$3:$E$97,
    "Other"
)</f>
        <v>Other</v>
      </c>
      <c r="E853">
        <f t="shared" si="26"/>
        <v>0</v>
      </c>
      <c r="F853">
        <f t="shared" si="27"/>
        <v>0</v>
      </c>
    </row>
    <row r="854" spans="1:6" x14ac:dyDescent="0.35">
      <c r="A854">
        <v>2015</v>
      </c>
      <c r="B854">
        <v>2674</v>
      </c>
      <c r="C854" t="s">
        <v>216</v>
      </c>
      <c r="D854" t="str" cm="1">
        <f t="array" ref="D854">_xlfn.XLOOKUP(1,
    ('team lookup'!$C$3:$C$97 = B854) * ('team lookup'!$A$3:$A$97 &lt;= A854) * (IF('team lookup'!$B$3:$B$97 = "", 9999, 'team lookup'!$B$3:$B$97) &gt;= A854),
    'team lookup'!$E$3:$E$97,
    "Other"
)</f>
        <v>Other</v>
      </c>
      <c r="E854">
        <f t="shared" si="26"/>
        <v>0</v>
      </c>
      <c r="F854">
        <f t="shared" si="27"/>
        <v>0</v>
      </c>
    </row>
    <row r="855" spans="1:6" x14ac:dyDescent="0.35">
      <c r="A855">
        <v>2015</v>
      </c>
      <c r="B855">
        <v>2670</v>
      </c>
      <c r="C855" t="s">
        <v>186</v>
      </c>
      <c r="D855" t="str" cm="1">
        <f t="array" ref="D855">_xlfn.XLOOKUP(1,
    ('team lookup'!$C$3:$C$97 = B855) * ('team lookup'!$A$3:$A$97 &lt;= A855) * (IF('team lookup'!$B$3:$B$97 = "", 9999, 'team lookup'!$B$3:$B$97) &gt;= A855),
    'team lookup'!$E$3:$E$97,
    "Other"
)</f>
        <v>Other</v>
      </c>
      <c r="E855">
        <f t="shared" si="26"/>
        <v>0</v>
      </c>
      <c r="F855">
        <f t="shared" si="27"/>
        <v>0</v>
      </c>
    </row>
    <row r="856" spans="1:6" x14ac:dyDescent="0.35">
      <c r="A856">
        <v>2015</v>
      </c>
      <c r="B856">
        <v>222</v>
      </c>
      <c r="C856" t="s">
        <v>172</v>
      </c>
      <c r="D856" t="str" cm="1">
        <f t="array" ref="D856">_xlfn.XLOOKUP(1,
    ('team lookup'!$C$3:$C$97 = B856) * ('team lookup'!$A$3:$A$97 &lt;= A856) * (IF('team lookup'!$B$3:$B$97 = "", 9999, 'team lookup'!$B$3:$B$97) &gt;= A856),
    'team lookup'!$E$3:$E$97,
    "Other"
)</f>
        <v>Big East</v>
      </c>
      <c r="E856">
        <f t="shared" si="26"/>
        <v>0</v>
      </c>
      <c r="F856">
        <f t="shared" si="27"/>
        <v>1</v>
      </c>
    </row>
    <row r="857" spans="1:6" x14ac:dyDescent="0.35">
      <c r="A857">
        <v>2015</v>
      </c>
      <c r="B857">
        <v>258</v>
      </c>
      <c r="C857" t="s">
        <v>209</v>
      </c>
      <c r="D857" t="str" cm="1">
        <f t="array" ref="D857">_xlfn.XLOOKUP(1,
    ('team lookup'!$C$3:$C$97 = B857) * ('team lookup'!$A$3:$A$97 &lt;= A857) * (IF('team lookup'!$B$3:$B$97 = "", 9999, 'team lookup'!$B$3:$B$97) &gt;= A857),
    'team lookup'!$E$3:$E$97,
    "Other"
)</f>
        <v>ACC</v>
      </c>
      <c r="E857">
        <f t="shared" si="26"/>
        <v>1</v>
      </c>
      <c r="F857">
        <f t="shared" si="27"/>
        <v>1</v>
      </c>
    </row>
    <row r="858" spans="1:6" x14ac:dyDescent="0.35">
      <c r="A858">
        <v>2015</v>
      </c>
      <c r="B858">
        <v>277</v>
      </c>
      <c r="C858" t="s">
        <v>174</v>
      </c>
      <c r="D858" t="str" cm="1">
        <f t="array" ref="D858">_xlfn.XLOOKUP(1,
    ('team lookup'!$C$3:$C$97 = B858) * ('team lookup'!$A$3:$A$97 &lt;= A858) * (IF('team lookup'!$B$3:$B$97 = "", 9999, 'team lookup'!$B$3:$B$97) &gt;= A858),
    'team lookup'!$E$3:$E$97,
    "Other"
)</f>
        <v>Big12</v>
      </c>
      <c r="E858">
        <f t="shared" si="26"/>
        <v>1</v>
      </c>
      <c r="F858">
        <f t="shared" si="27"/>
        <v>1</v>
      </c>
    </row>
    <row r="859" spans="1:6" x14ac:dyDescent="0.35">
      <c r="A859">
        <v>2015</v>
      </c>
      <c r="B859">
        <v>2724</v>
      </c>
      <c r="C859" t="s">
        <v>210</v>
      </c>
      <c r="D859" t="str" cm="1">
        <f t="array" ref="D859">_xlfn.XLOOKUP(1,
    ('team lookup'!$C$3:$C$97 = B859) * ('team lookup'!$A$3:$A$97 &lt;= A859) * (IF('team lookup'!$B$3:$B$97 = "", 9999, 'team lookup'!$B$3:$B$97) &gt;= A859),
    'team lookup'!$E$3:$E$97,
    "Other"
)</f>
        <v>Other</v>
      </c>
      <c r="E859">
        <f t="shared" si="26"/>
        <v>0</v>
      </c>
      <c r="F859">
        <f t="shared" si="27"/>
        <v>0</v>
      </c>
    </row>
    <row r="860" spans="1:6" x14ac:dyDescent="0.35">
      <c r="A860">
        <v>2015</v>
      </c>
      <c r="B860">
        <v>275</v>
      </c>
      <c r="C860" t="s">
        <v>177</v>
      </c>
      <c r="D860" t="str" cm="1">
        <f t="array" ref="D860">_xlfn.XLOOKUP(1,
    ('team lookup'!$C$3:$C$97 = B860) * ('team lookup'!$A$3:$A$97 &lt;= A860) * (IF('team lookup'!$B$3:$B$97 = "", 9999, 'team lookup'!$B$3:$B$97) &gt;= A860),
    'team lookup'!$E$3:$E$97,
    "Other"
)</f>
        <v>Big Ten</v>
      </c>
      <c r="E860">
        <f t="shared" si="26"/>
        <v>0</v>
      </c>
      <c r="F860">
        <f t="shared" si="27"/>
        <v>1</v>
      </c>
    </row>
    <row r="861" spans="1:6" x14ac:dyDescent="0.35">
      <c r="A861">
        <v>2015</v>
      </c>
      <c r="B861">
        <v>2747</v>
      </c>
      <c r="C861" t="s">
        <v>196</v>
      </c>
      <c r="D861" t="str" cm="1">
        <f t="array" ref="D861">_xlfn.XLOOKUP(1,
    ('team lookup'!$C$3:$C$97 = B861) * ('team lookup'!$A$3:$A$97 &lt;= A861) * (IF('team lookup'!$B$3:$B$97 = "", 9999, 'team lookup'!$B$3:$B$97) &gt;= A861),
    'team lookup'!$E$3:$E$97,
    "Other"
)</f>
        <v>Other</v>
      </c>
      <c r="E861">
        <f t="shared" si="26"/>
        <v>0</v>
      </c>
      <c r="F861">
        <f t="shared" si="27"/>
        <v>0</v>
      </c>
    </row>
    <row r="862" spans="1:6" x14ac:dyDescent="0.35">
      <c r="A862">
        <v>2015</v>
      </c>
      <c r="B862">
        <v>2751</v>
      </c>
      <c r="C862" t="s">
        <v>226</v>
      </c>
      <c r="D862" t="str" cm="1">
        <f t="array" ref="D862">_xlfn.XLOOKUP(1,
    ('team lookup'!$C$3:$C$97 = B862) * ('team lookup'!$A$3:$A$97 &lt;= A862) * (IF('team lookup'!$B$3:$B$97 = "", 9999, 'team lookup'!$B$3:$B$97) &gt;= A862),
    'team lookup'!$E$3:$E$97,
    "Other"
)</f>
        <v>Other</v>
      </c>
      <c r="E862">
        <f t="shared" si="26"/>
        <v>0</v>
      </c>
      <c r="F862">
        <f t="shared" si="27"/>
        <v>0</v>
      </c>
    </row>
    <row r="863" spans="1:6" x14ac:dyDescent="0.35">
      <c r="A863">
        <v>2015</v>
      </c>
      <c r="B863">
        <v>2752</v>
      </c>
      <c r="C863" t="s">
        <v>178</v>
      </c>
      <c r="D863" t="str" cm="1">
        <f t="array" ref="D863">_xlfn.XLOOKUP(1,
    ('team lookup'!$C$3:$C$97 = B863) * ('team lookup'!$A$3:$A$97 &lt;= A863) * (IF('team lookup'!$B$3:$B$97 = "", 9999, 'team lookup'!$B$3:$B$97) &gt;= A863),
    'team lookup'!$E$3:$E$97,
    "Other"
)</f>
        <v>Big East</v>
      </c>
      <c r="E863">
        <f t="shared" si="26"/>
        <v>0</v>
      </c>
      <c r="F863">
        <f t="shared" si="27"/>
        <v>1</v>
      </c>
    </row>
    <row r="864" spans="1:6" x14ac:dyDescent="0.35">
      <c r="A864">
        <v>2016</v>
      </c>
      <c r="B864">
        <v>204</v>
      </c>
      <c r="C864" t="s">
        <v>227</v>
      </c>
      <c r="D864" t="str" cm="1">
        <f t="array" ref="D864">_xlfn.XLOOKUP(1,
    ('team lookup'!$C$3:$C$97 = B864) * ('team lookup'!$A$3:$A$97 &lt;= A864) * (IF('team lookup'!$B$3:$B$97 = "", 9999, 'team lookup'!$B$3:$B$97) &gt;= A864),
    'team lookup'!$E$3:$E$97,
    "Other"
)</f>
        <v>Other</v>
      </c>
      <c r="E864">
        <f t="shared" si="26"/>
        <v>0</v>
      </c>
      <c r="F864">
        <f t="shared" si="27"/>
        <v>0</v>
      </c>
    </row>
    <row r="865" spans="1:6" x14ac:dyDescent="0.35">
      <c r="A865">
        <v>2016</v>
      </c>
      <c r="B865">
        <v>221</v>
      </c>
      <c r="C865" t="s">
        <v>152</v>
      </c>
      <c r="D865" t="str" cm="1">
        <f t="array" ref="D865">_xlfn.XLOOKUP(1,
    ('team lookup'!$C$3:$C$97 = B865) * ('team lookup'!$A$3:$A$97 &lt;= A865) * (IF('team lookup'!$B$3:$B$97 = "", 9999, 'team lookup'!$B$3:$B$97) &gt;= A865),
    'team lookup'!$E$3:$E$97,
    "Other"
)</f>
        <v>ACC</v>
      </c>
      <c r="E865">
        <f t="shared" si="26"/>
        <v>1</v>
      </c>
      <c r="F865">
        <f t="shared" si="27"/>
        <v>1</v>
      </c>
    </row>
    <row r="866" spans="1:6" x14ac:dyDescent="0.35">
      <c r="A866">
        <v>2016</v>
      </c>
      <c r="B866">
        <v>2507</v>
      </c>
      <c r="C866" t="s">
        <v>217</v>
      </c>
      <c r="D866" t="str" cm="1">
        <f t="array" ref="D866">_xlfn.XLOOKUP(1,
    ('team lookup'!$C$3:$C$97 = B866) * ('team lookup'!$A$3:$A$97 &lt;= A866) * (IF('team lookup'!$B$3:$B$97 = "", 9999, 'team lookup'!$B$3:$B$97) &gt;= A866),
    'team lookup'!$E$3:$E$97,
    "Other"
)</f>
        <v>Big East</v>
      </c>
      <c r="E866">
        <f t="shared" si="26"/>
        <v>0</v>
      </c>
      <c r="F866">
        <f t="shared" si="27"/>
        <v>1</v>
      </c>
    </row>
    <row r="867" spans="1:6" x14ac:dyDescent="0.35">
      <c r="A867">
        <v>2016</v>
      </c>
      <c r="B867">
        <v>2509</v>
      </c>
      <c r="C867" t="s">
        <v>154</v>
      </c>
      <c r="D867" t="str" cm="1">
        <f t="array" ref="D867">_xlfn.XLOOKUP(1,
    ('team lookup'!$C$3:$C$97 = B867) * ('team lookup'!$A$3:$A$97 &lt;= A867) * (IF('team lookup'!$B$3:$B$97 = "", 9999, 'team lookup'!$B$3:$B$97) &gt;= A867),
    'team lookup'!$E$3:$E$97,
    "Other"
)</f>
        <v>Big Ten</v>
      </c>
      <c r="E867">
        <f t="shared" si="26"/>
        <v>0</v>
      </c>
      <c r="F867">
        <f t="shared" si="27"/>
        <v>1</v>
      </c>
    </row>
    <row r="868" spans="1:6" x14ac:dyDescent="0.35">
      <c r="A868">
        <v>2016</v>
      </c>
      <c r="B868">
        <v>2571</v>
      </c>
      <c r="C868" t="s">
        <v>204</v>
      </c>
      <c r="D868" t="str" cm="1">
        <f t="array" ref="D868">_xlfn.XLOOKUP(1,
    ('team lookup'!$C$3:$C$97 = B868) * ('team lookup'!$A$3:$A$97 &lt;= A868) * (IF('team lookup'!$B$3:$B$97 = "", 9999, 'team lookup'!$B$3:$B$97) &gt;= A868),
    'team lookup'!$E$3:$E$97,
    "Other"
)</f>
        <v>Other</v>
      </c>
      <c r="E868">
        <f t="shared" si="26"/>
        <v>0</v>
      </c>
      <c r="F868">
        <f t="shared" si="27"/>
        <v>0</v>
      </c>
    </row>
    <row r="869" spans="1:6" x14ac:dyDescent="0.35">
      <c r="A869">
        <v>2016</v>
      </c>
      <c r="B869">
        <v>2603</v>
      </c>
      <c r="C869" t="s">
        <v>155</v>
      </c>
      <c r="D869" t="str" cm="1">
        <f t="array" ref="D869">_xlfn.XLOOKUP(1,
    ('team lookup'!$C$3:$C$97 = B869) * ('team lookup'!$A$3:$A$97 &lt;= A869) * (IF('team lookup'!$B$3:$B$97 = "", 9999, 'team lookup'!$B$3:$B$97) &gt;= A869),
    'team lookup'!$E$3:$E$97,
    "Other"
)</f>
        <v>Other</v>
      </c>
      <c r="E869">
        <f t="shared" si="26"/>
        <v>0</v>
      </c>
      <c r="F869">
        <f t="shared" si="27"/>
        <v>0</v>
      </c>
    </row>
    <row r="870" spans="1:6" x14ac:dyDescent="0.35">
      <c r="A870">
        <v>2016</v>
      </c>
      <c r="B870">
        <v>2550</v>
      </c>
      <c r="C870" t="s">
        <v>228</v>
      </c>
      <c r="D870" t="str" cm="1">
        <f t="array" ref="D870">_xlfn.XLOOKUP(1,
    ('team lookup'!$C$3:$C$97 = B870) * ('team lookup'!$A$3:$A$97 &lt;= A870) * (IF('team lookup'!$B$3:$B$97 = "", 9999, 'team lookup'!$B$3:$B$97) &gt;= A870),
    'team lookup'!$E$3:$E$97,
    "Other"
)</f>
        <v>Big East</v>
      </c>
      <c r="E870">
        <f t="shared" si="26"/>
        <v>0</v>
      </c>
      <c r="F870">
        <f t="shared" si="27"/>
        <v>1</v>
      </c>
    </row>
    <row r="871" spans="1:6" x14ac:dyDescent="0.35">
      <c r="A871">
        <v>2016</v>
      </c>
      <c r="B871">
        <v>2617</v>
      </c>
      <c r="C871" t="s">
        <v>182</v>
      </c>
      <c r="D871" t="str" cm="1">
        <f t="array" ref="D871">_xlfn.XLOOKUP(1,
    ('team lookup'!$C$3:$C$97 = B871) * ('team lookup'!$A$3:$A$97 &lt;= A871) * (IF('team lookup'!$B$3:$B$97 = "", 9999, 'team lookup'!$B$3:$B$97) &gt;= A871),
    'team lookup'!$E$3:$E$97,
    "Other"
)</f>
        <v>Other</v>
      </c>
      <c r="E871">
        <f t="shared" si="26"/>
        <v>0</v>
      </c>
      <c r="F871">
        <f t="shared" si="27"/>
        <v>0</v>
      </c>
    </row>
    <row r="872" spans="1:6" x14ac:dyDescent="0.35">
      <c r="A872">
        <v>2016</v>
      </c>
      <c r="B872">
        <v>2582</v>
      </c>
      <c r="C872" t="s">
        <v>215</v>
      </c>
      <c r="D872" t="str" cm="1">
        <f t="array" ref="D872">_xlfn.XLOOKUP(1,
    ('team lookup'!$C$3:$C$97 = B872) * ('team lookup'!$A$3:$A$97 &lt;= A872) * (IF('team lookup'!$B$3:$B$97 = "", 9999, 'team lookup'!$B$3:$B$97) &gt;= A872),
    'team lookup'!$E$3:$E$97,
    "Other"
)</f>
        <v>Other</v>
      </c>
      <c r="E872">
        <f t="shared" si="26"/>
        <v>0</v>
      </c>
      <c r="F872">
        <f t="shared" si="27"/>
        <v>0</v>
      </c>
    </row>
    <row r="873" spans="1:6" x14ac:dyDescent="0.35">
      <c r="A873">
        <v>2016</v>
      </c>
      <c r="B873">
        <v>2619</v>
      </c>
      <c r="C873" t="s">
        <v>229</v>
      </c>
      <c r="D873" t="str" cm="1">
        <f t="array" ref="D873">_xlfn.XLOOKUP(1,
    ('team lookup'!$C$3:$C$97 = B873) * ('team lookup'!$A$3:$A$97 &lt;= A873) * (IF('team lookup'!$B$3:$B$97 = "", 9999, 'team lookup'!$B$3:$B$97) &gt;= A873),
    'team lookup'!$E$3:$E$97,
    "Other"
)</f>
        <v>Other</v>
      </c>
      <c r="E873">
        <f t="shared" si="26"/>
        <v>0</v>
      </c>
      <c r="F873">
        <f t="shared" si="27"/>
        <v>0</v>
      </c>
    </row>
    <row r="874" spans="1:6" x14ac:dyDescent="0.35">
      <c r="A874">
        <v>2016</v>
      </c>
      <c r="B874">
        <v>183</v>
      </c>
      <c r="C874" t="s">
        <v>183</v>
      </c>
      <c r="D874" t="str" cm="1">
        <f t="array" ref="D874">_xlfn.XLOOKUP(1,
    ('team lookup'!$C$3:$C$97 = B874) * ('team lookup'!$A$3:$A$97 &lt;= A874) * (IF('team lookup'!$B$3:$B$97 = "", 9999, 'team lookup'!$B$3:$B$97) &gt;= A874),
    'team lookup'!$E$3:$E$97,
    "Other"
)</f>
        <v>ACC</v>
      </c>
      <c r="E874">
        <f t="shared" si="26"/>
        <v>1</v>
      </c>
      <c r="F874">
        <f t="shared" si="27"/>
        <v>1</v>
      </c>
    </row>
    <row r="875" spans="1:6" x14ac:dyDescent="0.35">
      <c r="A875">
        <v>2016</v>
      </c>
      <c r="B875">
        <v>218</v>
      </c>
      <c r="C875" t="s">
        <v>161</v>
      </c>
      <c r="D875" t="str" cm="1">
        <f t="array" ref="D875">_xlfn.XLOOKUP(1,
    ('team lookup'!$C$3:$C$97 = B875) * ('team lookup'!$A$3:$A$97 &lt;= A875) * (IF('team lookup'!$B$3:$B$97 = "", 9999, 'team lookup'!$B$3:$B$97) &gt;= A875),
    'team lookup'!$E$3:$E$97,
    "Other"
)</f>
        <v>Other</v>
      </c>
      <c r="E875">
        <f t="shared" si="26"/>
        <v>0</v>
      </c>
      <c r="F875">
        <f t="shared" si="27"/>
        <v>0</v>
      </c>
    </row>
    <row r="876" spans="1:6" x14ac:dyDescent="0.35">
      <c r="A876">
        <v>2016</v>
      </c>
      <c r="B876">
        <v>251</v>
      </c>
      <c r="C876" t="s">
        <v>163</v>
      </c>
      <c r="D876" t="str" cm="1">
        <f t="array" ref="D876">_xlfn.XLOOKUP(1,
    ('team lookup'!$C$3:$C$97 = B876) * ('team lookup'!$A$3:$A$97 &lt;= A876) * (IF('team lookup'!$B$3:$B$97 = "", 9999, 'team lookup'!$B$3:$B$97) &gt;= A876),
    'team lookup'!$E$3:$E$97,
    "Other"
)</f>
        <v>Big12</v>
      </c>
      <c r="E876">
        <f t="shared" si="26"/>
        <v>1</v>
      </c>
      <c r="F876">
        <f t="shared" si="27"/>
        <v>1</v>
      </c>
    </row>
    <row r="877" spans="1:6" x14ac:dyDescent="0.35">
      <c r="A877">
        <v>2016</v>
      </c>
      <c r="B877">
        <v>245</v>
      </c>
      <c r="C877" t="s">
        <v>164</v>
      </c>
      <c r="D877" t="str" cm="1">
        <f t="array" ref="D877">_xlfn.XLOOKUP(1,
    ('team lookup'!$C$3:$C$97 = B877) * ('team lookup'!$A$3:$A$97 &lt;= A877) * (IF('team lookup'!$B$3:$B$97 = "", 9999, 'team lookup'!$B$3:$B$97) &gt;= A877),
    'team lookup'!$E$3:$E$97,
    "Other"
)</f>
        <v>SEC</v>
      </c>
      <c r="E877">
        <f t="shared" si="26"/>
        <v>1</v>
      </c>
      <c r="F877">
        <f t="shared" si="27"/>
        <v>1</v>
      </c>
    </row>
    <row r="878" spans="1:6" x14ac:dyDescent="0.35">
      <c r="A878">
        <v>2016</v>
      </c>
      <c r="B878">
        <v>2641</v>
      </c>
      <c r="C878" t="s">
        <v>230</v>
      </c>
      <c r="D878" t="str" cm="1">
        <f t="array" ref="D878">_xlfn.XLOOKUP(1,
    ('team lookup'!$C$3:$C$97 = B878) * ('team lookup'!$A$3:$A$97 &lt;= A878) * (IF('team lookup'!$B$3:$B$97 = "", 9999, 'team lookup'!$B$3:$B$97) &gt;= A878),
    'team lookup'!$E$3:$E$97,
    "Other"
)</f>
        <v>Big12</v>
      </c>
      <c r="E878">
        <f t="shared" si="26"/>
        <v>1</v>
      </c>
      <c r="F878">
        <f t="shared" si="27"/>
        <v>1</v>
      </c>
    </row>
    <row r="879" spans="1:6" x14ac:dyDescent="0.35">
      <c r="A879">
        <v>2016</v>
      </c>
      <c r="B879">
        <v>202</v>
      </c>
      <c r="C879" t="s">
        <v>219</v>
      </c>
      <c r="D879" t="str" cm="1">
        <f t="array" ref="D879">_xlfn.XLOOKUP(1,
    ('team lookup'!$C$3:$C$97 = B879) * ('team lookup'!$A$3:$A$97 &lt;= A879) * (IF('team lookup'!$B$3:$B$97 = "", 9999, 'team lookup'!$B$3:$B$97) &gt;= A879),
    'team lookup'!$E$3:$E$97,
    "Other"
)</f>
        <v>Other</v>
      </c>
      <c r="E879">
        <f t="shared" si="26"/>
        <v>0</v>
      </c>
      <c r="F879">
        <f t="shared" si="27"/>
        <v>0</v>
      </c>
    </row>
    <row r="880" spans="1:6" x14ac:dyDescent="0.35">
      <c r="A880">
        <v>2016</v>
      </c>
      <c r="B880">
        <v>41</v>
      </c>
      <c r="C880" t="s">
        <v>166</v>
      </c>
      <c r="D880" t="str" cm="1">
        <f t="array" ref="D880">_xlfn.XLOOKUP(1,
    ('team lookup'!$C$3:$C$97 = B880) * ('team lookup'!$A$3:$A$97 &lt;= A880) * (IF('team lookup'!$B$3:$B$97 = "", 9999, 'team lookup'!$B$3:$B$97) &gt;= A880),
    'team lookup'!$E$3:$E$97,
    "Other"
)</f>
        <v>Other</v>
      </c>
      <c r="E880">
        <f t="shared" si="26"/>
        <v>0</v>
      </c>
      <c r="F880">
        <f t="shared" si="27"/>
        <v>0</v>
      </c>
    </row>
    <row r="881" spans="1:6" x14ac:dyDescent="0.35">
      <c r="A881">
        <v>2016</v>
      </c>
      <c r="B881">
        <v>2427</v>
      </c>
      <c r="C881" t="s">
        <v>202</v>
      </c>
      <c r="D881" t="str" cm="1">
        <f t="array" ref="D881">_xlfn.XLOOKUP(1,
    ('team lookup'!$C$3:$C$97 = B881) * ('team lookup'!$A$3:$A$97 &lt;= A881) * (IF('team lookup'!$B$3:$B$97 = "", 9999, 'team lookup'!$B$3:$B$97) &gt;= A881),
    'team lookup'!$E$3:$E$97,
    "Other"
)</f>
        <v>Other</v>
      </c>
      <c r="E881">
        <f t="shared" si="26"/>
        <v>0</v>
      </c>
      <c r="F881">
        <f t="shared" si="27"/>
        <v>0</v>
      </c>
    </row>
    <row r="882" spans="1:6" x14ac:dyDescent="0.35">
      <c r="A882">
        <v>2016</v>
      </c>
      <c r="B882">
        <v>350</v>
      </c>
      <c r="C882" t="s">
        <v>231</v>
      </c>
      <c r="D882" t="str" cm="1">
        <f t="array" ref="D882">_xlfn.XLOOKUP(1,
    ('team lookup'!$C$3:$C$97 = B882) * ('team lookup'!$A$3:$A$97 &lt;= A882) * (IF('team lookup'!$B$3:$B$97 = "", 9999, 'team lookup'!$B$3:$B$97) &gt;= A882),
    'team lookup'!$E$3:$E$97,
    "Other"
)</f>
        <v>Other</v>
      </c>
      <c r="E882">
        <f t="shared" si="26"/>
        <v>0</v>
      </c>
      <c r="F882">
        <f t="shared" si="27"/>
        <v>0</v>
      </c>
    </row>
    <row r="883" spans="1:6" x14ac:dyDescent="0.35">
      <c r="A883">
        <v>2016</v>
      </c>
      <c r="B883">
        <v>30</v>
      </c>
      <c r="C883" t="s">
        <v>169</v>
      </c>
      <c r="D883" t="str" cm="1">
        <f t="array" ref="D883">_xlfn.XLOOKUP(1,
    ('team lookup'!$C$3:$C$97 = B883) * ('team lookup'!$A$3:$A$97 &lt;= A883) * (IF('team lookup'!$B$3:$B$97 = "", 9999, 'team lookup'!$B$3:$B$97) &gt;= A883),
    'team lookup'!$E$3:$E$97,
    "Other"
)</f>
        <v>Other</v>
      </c>
      <c r="E883">
        <f t="shared" si="26"/>
        <v>0</v>
      </c>
      <c r="F883">
        <f t="shared" si="27"/>
        <v>0</v>
      </c>
    </row>
    <row r="884" spans="1:6" x14ac:dyDescent="0.35">
      <c r="A884">
        <v>2016</v>
      </c>
      <c r="B884">
        <v>254</v>
      </c>
      <c r="C884" t="s">
        <v>184</v>
      </c>
      <c r="D884" t="str" cm="1">
        <f t="array" ref="D884">_xlfn.XLOOKUP(1,
    ('team lookup'!$C$3:$C$97 = B884) * ('team lookup'!$A$3:$A$97 &lt;= A884) * (IF('team lookup'!$B$3:$B$97 = "", 9999, 'team lookup'!$B$3:$B$97) &gt;= A884),
    'team lookup'!$E$3:$E$97,
    "Other"
)</f>
        <v>Other</v>
      </c>
      <c r="E884">
        <f t="shared" si="26"/>
        <v>0</v>
      </c>
      <c r="F884">
        <f t="shared" si="27"/>
        <v>0</v>
      </c>
    </row>
    <row r="885" spans="1:6" x14ac:dyDescent="0.35">
      <c r="A885">
        <v>2016</v>
      </c>
      <c r="B885">
        <v>238</v>
      </c>
      <c r="C885" t="s">
        <v>171</v>
      </c>
      <c r="D885" t="str" cm="1">
        <f t="array" ref="D885">_xlfn.XLOOKUP(1,
    ('team lookup'!$C$3:$C$97 = B885) * ('team lookup'!$A$3:$A$97 &lt;= A885) * (IF('team lookup'!$B$3:$B$97 = "", 9999, 'team lookup'!$B$3:$B$97) &gt;= A885),
    'team lookup'!$E$3:$E$97,
    "Other"
)</f>
        <v>SEC</v>
      </c>
      <c r="E885">
        <f t="shared" si="26"/>
        <v>1</v>
      </c>
      <c r="F885">
        <f t="shared" si="27"/>
        <v>1</v>
      </c>
    </row>
    <row r="886" spans="1:6" x14ac:dyDescent="0.35">
      <c r="A886">
        <v>2016</v>
      </c>
      <c r="B886">
        <v>2670</v>
      </c>
      <c r="C886" t="s">
        <v>186</v>
      </c>
      <c r="D886" t="str" cm="1">
        <f t="array" ref="D886">_xlfn.XLOOKUP(1,
    ('team lookup'!$C$3:$C$97 = B886) * ('team lookup'!$A$3:$A$97 &lt;= A886) * (IF('team lookup'!$B$3:$B$97 = "", 9999, 'team lookup'!$B$3:$B$97) &gt;= A886),
    'team lookup'!$E$3:$E$97,
    "Other"
)</f>
        <v>Other</v>
      </c>
      <c r="E886">
        <f t="shared" si="26"/>
        <v>0</v>
      </c>
      <c r="F886">
        <f t="shared" si="27"/>
        <v>0</v>
      </c>
    </row>
    <row r="887" spans="1:6" x14ac:dyDescent="0.35">
      <c r="A887">
        <v>2016</v>
      </c>
      <c r="B887">
        <v>222</v>
      </c>
      <c r="C887" t="s">
        <v>172</v>
      </c>
      <c r="D887" t="str" cm="1">
        <f t="array" ref="D887">_xlfn.XLOOKUP(1,
    ('team lookup'!$C$3:$C$97 = B887) * ('team lookup'!$A$3:$A$97 &lt;= A887) * (IF('team lookup'!$B$3:$B$97 = "", 9999, 'team lookup'!$B$3:$B$97) &gt;= A887),
    'team lookup'!$E$3:$E$97,
    "Other"
)</f>
        <v>Big East</v>
      </c>
      <c r="E887">
        <f t="shared" si="26"/>
        <v>0</v>
      </c>
      <c r="F887">
        <f t="shared" si="27"/>
        <v>1</v>
      </c>
    </row>
    <row r="888" spans="1:6" x14ac:dyDescent="0.35">
      <c r="A888">
        <v>2016</v>
      </c>
      <c r="B888">
        <v>258</v>
      </c>
      <c r="C888" t="s">
        <v>209</v>
      </c>
      <c r="D888" t="str" cm="1">
        <f t="array" ref="D888">_xlfn.XLOOKUP(1,
    ('team lookup'!$C$3:$C$97 = B888) * ('team lookup'!$A$3:$A$97 &lt;= A888) * (IF('team lookup'!$B$3:$B$97 = "", 9999, 'team lookup'!$B$3:$B$97) &gt;= A888),
    'team lookup'!$E$3:$E$97,
    "Other"
)</f>
        <v>ACC</v>
      </c>
      <c r="E888">
        <f t="shared" si="26"/>
        <v>1</v>
      </c>
      <c r="F888">
        <f t="shared" si="27"/>
        <v>1</v>
      </c>
    </row>
    <row r="889" spans="1:6" x14ac:dyDescent="0.35">
      <c r="A889">
        <v>2016</v>
      </c>
      <c r="B889">
        <v>2692</v>
      </c>
      <c r="C889" t="s">
        <v>222</v>
      </c>
      <c r="D889" t="str" cm="1">
        <f t="array" ref="D889">_xlfn.XLOOKUP(1,
    ('team lookup'!$C$3:$C$97 = B889) * ('team lookup'!$A$3:$A$97 &lt;= A889) * (IF('team lookup'!$B$3:$B$97 = "", 9999, 'team lookup'!$B$3:$B$97) &gt;= A889),
    'team lookup'!$E$3:$E$97,
    "Other"
)</f>
        <v>Other</v>
      </c>
      <c r="E889">
        <f t="shared" si="26"/>
        <v>0</v>
      </c>
      <c r="F889">
        <f t="shared" si="27"/>
        <v>0</v>
      </c>
    </row>
    <row r="890" spans="1:6" x14ac:dyDescent="0.35">
      <c r="A890">
        <v>2016</v>
      </c>
      <c r="B890">
        <v>277</v>
      </c>
      <c r="C890" t="s">
        <v>174</v>
      </c>
      <c r="D890" t="str" cm="1">
        <f t="array" ref="D890">_xlfn.XLOOKUP(1,
    ('team lookup'!$C$3:$C$97 = B890) * ('team lookup'!$A$3:$A$97 &lt;= A890) * (IF('team lookup'!$B$3:$B$97 = "", 9999, 'team lookup'!$B$3:$B$97) &gt;= A890),
    'team lookup'!$E$3:$E$97,
    "Other"
)</f>
        <v>Big12</v>
      </c>
      <c r="E890">
        <f t="shared" si="26"/>
        <v>1</v>
      </c>
      <c r="F890">
        <f t="shared" si="27"/>
        <v>1</v>
      </c>
    </row>
    <row r="891" spans="1:6" x14ac:dyDescent="0.35">
      <c r="A891">
        <v>2016</v>
      </c>
      <c r="B891">
        <v>2724</v>
      </c>
      <c r="C891" t="s">
        <v>210</v>
      </c>
      <c r="D891" t="str" cm="1">
        <f t="array" ref="D891">_xlfn.XLOOKUP(1,
    ('team lookup'!$C$3:$C$97 = B891) * ('team lookup'!$A$3:$A$97 &lt;= A891) * (IF('team lookup'!$B$3:$B$97 = "", 9999, 'team lookup'!$B$3:$B$97) &gt;= A891),
    'team lookup'!$E$3:$E$97,
    "Other"
)</f>
        <v>Other</v>
      </c>
      <c r="E891">
        <f t="shared" si="26"/>
        <v>0</v>
      </c>
      <c r="F891">
        <f t="shared" si="27"/>
        <v>0</v>
      </c>
    </row>
    <row r="892" spans="1:6" x14ac:dyDescent="0.35">
      <c r="A892">
        <v>2016</v>
      </c>
      <c r="B892">
        <v>275</v>
      </c>
      <c r="C892" t="s">
        <v>177</v>
      </c>
      <c r="D892" t="str" cm="1">
        <f t="array" ref="D892">_xlfn.XLOOKUP(1,
    ('team lookup'!$C$3:$C$97 = B892) * ('team lookup'!$A$3:$A$97 &lt;= A892) * (IF('team lookup'!$B$3:$B$97 = "", 9999, 'team lookup'!$B$3:$B$97) &gt;= A892),
    'team lookup'!$E$3:$E$97,
    "Other"
)</f>
        <v>Big Ten</v>
      </c>
      <c r="E892">
        <f t="shared" si="26"/>
        <v>0</v>
      </c>
      <c r="F892">
        <f t="shared" si="27"/>
        <v>1</v>
      </c>
    </row>
    <row r="893" spans="1:6" x14ac:dyDescent="0.35">
      <c r="A893">
        <v>2016</v>
      </c>
      <c r="B893">
        <v>2752</v>
      </c>
      <c r="C893" t="s">
        <v>178</v>
      </c>
      <c r="D893" t="str" cm="1">
        <f t="array" ref="D893">_xlfn.XLOOKUP(1,
    ('team lookup'!$C$3:$C$97 = B893) * ('team lookup'!$A$3:$A$97 &lt;= A893) * (IF('team lookup'!$B$3:$B$97 = "", 9999, 'team lookup'!$B$3:$B$97) &gt;= A893),
    'team lookup'!$E$3:$E$97,
    "Other"
)</f>
        <v>Big East</v>
      </c>
      <c r="E893">
        <f t="shared" si="26"/>
        <v>0</v>
      </c>
      <c r="F893">
        <f t="shared" si="27"/>
        <v>1</v>
      </c>
    </row>
    <row r="894" spans="1:6" x14ac:dyDescent="0.35">
      <c r="A894">
        <v>2016</v>
      </c>
      <c r="B894">
        <v>43</v>
      </c>
      <c r="C894" t="s">
        <v>232</v>
      </c>
      <c r="D894" t="str" cm="1">
        <f t="array" ref="D894">_xlfn.XLOOKUP(1,
    ('team lookup'!$C$3:$C$97 = B894) * ('team lookup'!$A$3:$A$97 &lt;= A894) * (IF('team lookup'!$B$3:$B$97 = "", 9999, 'team lookup'!$B$3:$B$97) &gt;= A894),
    'team lookup'!$E$3:$E$97,
    "Other"
)</f>
        <v>Other</v>
      </c>
      <c r="E894">
        <f t="shared" si="26"/>
        <v>0</v>
      </c>
      <c r="F894">
        <f t="shared" si="27"/>
        <v>0</v>
      </c>
    </row>
    <row r="895" spans="1:6" x14ac:dyDescent="0.35">
      <c r="A895">
        <v>2017</v>
      </c>
      <c r="B895">
        <v>153</v>
      </c>
      <c r="C895" t="s">
        <v>35</v>
      </c>
      <c r="D895" t="str" cm="1">
        <f t="array" ref="D895">_xlfn.XLOOKUP(1,
    ('team lookup'!$C$3:$C$97 = B895) * ('team lookup'!$A$3:$A$97 &lt;= A895) * (IF('team lookup'!$B$3:$B$97 = "", 9999, 'team lookup'!$B$3:$B$97) &gt;= A895),
    'team lookup'!$E$3:$E$97,
    "Other"
)</f>
        <v>ACC</v>
      </c>
      <c r="E895">
        <f t="shared" si="26"/>
        <v>1</v>
      </c>
      <c r="F895">
        <f t="shared" si="27"/>
        <v>1</v>
      </c>
    </row>
    <row r="896" spans="1:6" x14ac:dyDescent="0.35">
      <c r="A896">
        <v>2017</v>
      </c>
      <c r="B896">
        <v>155</v>
      </c>
      <c r="C896" t="s">
        <v>233</v>
      </c>
      <c r="D896" t="str" cm="1">
        <f t="array" ref="D896">_xlfn.XLOOKUP(1,
    ('team lookup'!$C$3:$C$97 = B896) * ('team lookup'!$A$3:$A$97 &lt;= A896) * (IF('team lookup'!$B$3:$B$97 = "", 9999, 'team lookup'!$B$3:$B$97) &gt;= A896),
    'team lookup'!$E$3:$E$97,
    "Other"
)</f>
        <v>Other</v>
      </c>
      <c r="E896">
        <f t="shared" si="26"/>
        <v>0</v>
      </c>
      <c r="F896">
        <f t="shared" si="27"/>
        <v>0</v>
      </c>
    </row>
    <row r="897" spans="1:6" x14ac:dyDescent="0.35">
      <c r="A897">
        <v>2017</v>
      </c>
      <c r="B897">
        <v>77</v>
      </c>
      <c r="C897" t="s">
        <v>234</v>
      </c>
      <c r="D897" t="str" cm="1">
        <f t="array" ref="D897">_xlfn.XLOOKUP(1,
    ('team lookup'!$C$3:$C$97 = B897) * ('team lookup'!$A$3:$A$97 &lt;= A897) * (IF('team lookup'!$B$3:$B$97 = "", 9999, 'team lookup'!$B$3:$B$97) &gt;= A897),
    'team lookup'!$E$3:$E$97,
    "Other"
)</f>
        <v>Big Ten</v>
      </c>
      <c r="E897">
        <f t="shared" si="26"/>
        <v>0</v>
      </c>
      <c r="F897">
        <f t="shared" si="27"/>
        <v>1</v>
      </c>
    </row>
    <row r="898" spans="1:6" x14ac:dyDescent="0.35">
      <c r="A898">
        <v>2017</v>
      </c>
      <c r="B898">
        <v>87</v>
      </c>
      <c r="C898" t="s">
        <v>36</v>
      </c>
      <c r="D898" t="str" cm="1">
        <f t="array" ref="D898">_xlfn.XLOOKUP(1,
    ('team lookup'!$C$3:$C$97 = B898) * ('team lookup'!$A$3:$A$97 &lt;= A898) * (IF('team lookup'!$B$3:$B$97 = "", 9999, 'team lookup'!$B$3:$B$97) &gt;= A898),
    'team lookup'!$E$3:$E$97,
    "Other"
)</f>
        <v>ACC</v>
      </c>
      <c r="E898">
        <f t="shared" si="26"/>
        <v>1</v>
      </c>
      <c r="F898">
        <f t="shared" si="27"/>
        <v>1</v>
      </c>
    </row>
    <row r="899" spans="1:6" x14ac:dyDescent="0.35">
      <c r="A899">
        <v>2017</v>
      </c>
      <c r="B899">
        <v>197</v>
      </c>
      <c r="C899" t="s">
        <v>179</v>
      </c>
      <c r="D899" t="str" cm="1">
        <f t="array" ref="D899">_xlfn.XLOOKUP(1,
    ('team lookup'!$C$3:$C$97 = B899) * ('team lookup'!$A$3:$A$97 &lt;= A899) * (IF('team lookup'!$B$3:$B$97 = "", 9999, 'team lookup'!$B$3:$B$97) &gt;= A899),
    'team lookup'!$E$3:$E$97,
    "Other"
)</f>
        <v>Big12</v>
      </c>
      <c r="E899">
        <f t="shared" ref="E899:E962" si="28">IF(OR(D899="ACC", D899="SEC", D899="Big12"), 1,0)</f>
        <v>1</v>
      </c>
      <c r="F899">
        <f t="shared" ref="F899:F962" si="29">IF(D899&lt;&gt;"Other", 1,0)</f>
        <v>1</v>
      </c>
    </row>
    <row r="900" spans="1:6" x14ac:dyDescent="0.35">
      <c r="A900">
        <v>2017</v>
      </c>
      <c r="B900">
        <v>2483</v>
      </c>
      <c r="C900" t="s">
        <v>122</v>
      </c>
      <c r="D900" t="str" cm="1">
        <f t="array" ref="D900">_xlfn.XLOOKUP(1,
    ('team lookup'!$C$3:$C$97 = B900) * ('team lookup'!$A$3:$A$97 &lt;= A900) * (IF('team lookup'!$B$3:$B$97 = "", 9999, 'team lookup'!$B$3:$B$97) &gt;= A900),
    'team lookup'!$E$3:$E$97,
    "Other"
)</f>
        <v>Other</v>
      </c>
      <c r="E900">
        <f t="shared" si="28"/>
        <v>0</v>
      </c>
      <c r="F900">
        <f t="shared" si="29"/>
        <v>0</v>
      </c>
    </row>
    <row r="901" spans="1:6" x14ac:dyDescent="0.35">
      <c r="A901">
        <v>2017</v>
      </c>
      <c r="B901">
        <v>163</v>
      </c>
      <c r="C901" t="s">
        <v>198</v>
      </c>
      <c r="D901" t="str" cm="1">
        <f t="array" ref="D901">_xlfn.XLOOKUP(1,
    ('team lookup'!$C$3:$C$97 = B901) * ('team lookup'!$A$3:$A$97 &lt;= A901) * (IF('team lookup'!$B$3:$B$97 = "", 9999, 'team lookup'!$B$3:$B$97) &gt;= A901),
    'team lookup'!$E$3:$E$97,
    "Other"
)</f>
        <v>Other</v>
      </c>
      <c r="E901">
        <f t="shared" si="28"/>
        <v>0</v>
      </c>
      <c r="F901">
        <f t="shared" si="29"/>
        <v>0</v>
      </c>
    </row>
    <row r="902" spans="1:6" x14ac:dyDescent="0.35">
      <c r="A902">
        <v>2017</v>
      </c>
      <c r="B902">
        <v>2507</v>
      </c>
      <c r="C902" t="s">
        <v>217</v>
      </c>
      <c r="D902" t="str" cm="1">
        <f t="array" ref="D902">_xlfn.XLOOKUP(1,
    ('team lookup'!$C$3:$C$97 = B902) * ('team lookup'!$A$3:$A$97 &lt;= A902) * (IF('team lookup'!$B$3:$B$97 = "", 9999, 'team lookup'!$B$3:$B$97) &gt;= A902),
    'team lookup'!$E$3:$E$97,
    "Other"
)</f>
        <v>Big East</v>
      </c>
      <c r="E902">
        <f t="shared" si="28"/>
        <v>0</v>
      </c>
      <c r="F902">
        <f t="shared" si="29"/>
        <v>1</v>
      </c>
    </row>
    <row r="903" spans="1:6" x14ac:dyDescent="0.35">
      <c r="A903">
        <v>2017</v>
      </c>
      <c r="B903">
        <v>2509</v>
      </c>
      <c r="C903" t="s">
        <v>154</v>
      </c>
      <c r="D903" t="str" cm="1">
        <f t="array" ref="D903">_xlfn.XLOOKUP(1,
    ('team lookup'!$C$3:$C$97 = B903) * ('team lookup'!$A$3:$A$97 &lt;= A903) * (IF('team lookup'!$B$3:$B$97 = "", 9999, 'team lookup'!$B$3:$B$97) &gt;= A903),
    'team lookup'!$E$3:$E$97,
    "Other"
)</f>
        <v>Big Ten</v>
      </c>
      <c r="E903">
        <f t="shared" si="28"/>
        <v>0</v>
      </c>
      <c r="F903">
        <f t="shared" si="29"/>
        <v>1</v>
      </c>
    </row>
    <row r="904" spans="1:6" x14ac:dyDescent="0.35">
      <c r="A904">
        <v>2017</v>
      </c>
      <c r="B904">
        <v>227</v>
      </c>
      <c r="C904" t="s">
        <v>235</v>
      </c>
      <c r="D904" t="str" cm="1">
        <f t="array" ref="D904">_xlfn.XLOOKUP(1,
    ('team lookup'!$C$3:$C$97 = B904) * ('team lookup'!$A$3:$A$97 &lt;= A904) * (IF('team lookup'!$B$3:$B$97 = "", 9999, 'team lookup'!$B$3:$B$97) &gt;= A904),
    'team lookup'!$E$3:$E$97,
    "Other"
)</f>
        <v>Other</v>
      </c>
      <c r="E904">
        <f t="shared" si="28"/>
        <v>0</v>
      </c>
      <c r="F904">
        <f t="shared" si="29"/>
        <v>0</v>
      </c>
    </row>
    <row r="905" spans="1:6" x14ac:dyDescent="0.35">
      <c r="A905">
        <v>2017</v>
      </c>
      <c r="B905">
        <v>2571</v>
      </c>
      <c r="C905" t="s">
        <v>204</v>
      </c>
      <c r="D905" t="str" cm="1">
        <f t="array" ref="D905">_xlfn.XLOOKUP(1,
    ('team lookup'!$C$3:$C$97 = B905) * ('team lookup'!$A$3:$A$97 &lt;= A905) * (IF('team lookup'!$B$3:$B$97 = "", 9999, 'team lookup'!$B$3:$B$97) &gt;= A905),
    'team lookup'!$E$3:$E$97,
    "Other"
)</f>
        <v>Other</v>
      </c>
      <c r="E905">
        <f t="shared" si="28"/>
        <v>0</v>
      </c>
      <c r="F905">
        <f t="shared" si="29"/>
        <v>0</v>
      </c>
    </row>
    <row r="906" spans="1:6" x14ac:dyDescent="0.35">
      <c r="A906">
        <v>2017</v>
      </c>
      <c r="B906">
        <v>2608</v>
      </c>
      <c r="C906" t="s">
        <v>156</v>
      </c>
      <c r="D906" t="str" cm="1">
        <f t="array" ref="D906">_xlfn.XLOOKUP(1,
    ('team lookup'!$C$3:$C$97 = B906) * ('team lookup'!$A$3:$A$97 &lt;= A906) * (IF('team lookup'!$B$3:$B$97 = "", 9999, 'team lookup'!$B$3:$B$97) &gt;= A906),
    'team lookup'!$E$3:$E$97,
    "Other"
)</f>
        <v>Other</v>
      </c>
      <c r="E906">
        <f t="shared" si="28"/>
        <v>0</v>
      </c>
      <c r="F906">
        <f t="shared" si="29"/>
        <v>0</v>
      </c>
    </row>
    <row r="907" spans="1:6" x14ac:dyDescent="0.35">
      <c r="A907">
        <v>2017</v>
      </c>
      <c r="B907">
        <v>2550</v>
      </c>
      <c r="C907" t="s">
        <v>228</v>
      </c>
      <c r="D907" t="str" cm="1">
        <f t="array" ref="D907">_xlfn.XLOOKUP(1,
    ('team lookup'!$C$3:$C$97 = B907) * ('team lookup'!$A$3:$A$97 &lt;= A907) * (IF('team lookup'!$B$3:$B$97 = "", 9999, 'team lookup'!$B$3:$B$97) &gt;= A907),
    'team lookup'!$E$3:$E$97,
    "Other"
)</f>
        <v>Big East</v>
      </c>
      <c r="E907">
        <f t="shared" si="28"/>
        <v>0</v>
      </c>
      <c r="F907">
        <f t="shared" si="29"/>
        <v>1</v>
      </c>
    </row>
    <row r="908" spans="1:6" x14ac:dyDescent="0.35">
      <c r="A908">
        <v>2017</v>
      </c>
      <c r="B908">
        <v>2567</v>
      </c>
      <c r="C908" t="s">
        <v>224</v>
      </c>
      <c r="D908" t="str" cm="1">
        <f t="array" ref="D908">_xlfn.XLOOKUP(1,
    ('team lookup'!$C$3:$C$97 = B908) * ('team lookup'!$A$3:$A$97 &lt;= A908) * (IF('team lookup'!$B$3:$B$97 = "", 9999, 'team lookup'!$B$3:$B$97) &gt;= A908),
    'team lookup'!$E$3:$E$97,
    "Other"
)</f>
        <v>Other</v>
      </c>
      <c r="E908">
        <f t="shared" si="28"/>
        <v>0</v>
      </c>
      <c r="F908">
        <f t="shared" si="29"/>
        <v>0</v>
      </c>
    </row>
    <row r="909" spans="1:6" x14ac:dyDescent="0.35">
      <c r="A909">
        <v>2017</v>
      </c>
      <c r="B909">
        <v>2579</v>
      </c>
      <c r="C909" t="s">
        <v>236</v>
      </c>
      <c r="D909" t="str" cm="1">
        <f t="array" ref="D909">_xlfn.XLOOKUP(1,
    ('team lookup'!$C$3:$C$97 = B909) * ('team lookup'!$A$3:$A$97 &lt;= A909) * (IF('team lookup'!$B$3:$B$97 = "", 9999, 'team lookup'!$B$3:$B$97) &gt;= A909),
    'team lookup'!$E$3:$E$97,
    "Other"
)</f>
        <v>SEC</v>
      </c>
      <c r="E909">
        <f t="shared" si="28"/>
        <v>1</v>
      </c>
      <c r="F909">
        <f t="shared" si="29"/>
        <v>1</v>
      </c>
    </row>
    <row r="910" spans="1:6" x14ac:dyDescent="0.35">
      <c r="A910">
        <v>2017</v>
      </c>
      <c r="B910">
        <v>2640</v>
      </c>
      <c r="C910" t="s">
        <v>218</v>
      </c>
      <c r="D910" t="str" cm="1">
        <f t="array" ref="D910">_xlfn.XLOOKUP(1,
    ('team lookup'!$C$3:$C$97 = B910) * ('team lookup'!$A$3:$A$97 &lt;= A910) * (IF('team lookup'!$B$3:$B$97 = "", 9999, 'team lookup'!$B$3:$B$97) &gt;= A910),
    'team lookup'!$E$3:$E$97,
    "Other"
)</f>
        <v>Other</v>
      </c>
      <c r="E910">
        <f t="shared" si="28"/>
        <v>0</v>
      </c>
      <c r="F910">
        <f t="shared" si="29"/>
        <v>0</v>
      </c>
    </row>
    <row r="911" spans="1:6" x14ac:dyDescent="0.35">
      <c r="A911">
        <v>2017</v>
      </c>
      <c r="B911">
        <v>2653</v>
      </c>
      <c r="C911" t="s">
        <v>237</v>
      </c>
      <c r="D911" t="str" cm="1">
        <f t="array" ref="D911">_xlfn.XLOOKUP(1,
    ('team lookup'!$C$3:$C$97 = B911) * ('team lookup'!$A$3:$A$97 &lt;= A911) * (IF('team lookup'!$B$3:$B$97 = "", 9999, 'team lookup'!$B$3:$B$97) &gt;= A911),
    'team lookup'!$E$3:$E$97,
    "Other"
)</f>
        <v>Other</v>
      </c>
      <c r="E911">
        <f t="shared" si="28"/>
        <v>0</v>
      </c>
      <c r="F911">
        <f t="shared" si="29"/>
        <v>0</v>
      </c>
    </row>
    <row r="912" spans="1:6" x14ac:dyDescent="0.35">
      <c r="A912">
        <v>2017</v>
      </c>
      <c r="B912">
        <v>302</v>
      </c>
      <c r="C912" t="s">
        <v>238</v>
      </c>
      <c r="D912" t="str" cm="1">
        <f t="array" ref="D912">_xlfn.XLOOKUP(1,
    ('team lookup'!$C$3:$C$97 = B912) * ('team lookup'!$A$3:$A$97 &lt;= A912) * (IF('team lookup'!$B$3:$B$97 = "", 9999, 'team lookup'!$B$3:$B$97) &gt;= A912),
    'team lookup'!$E$3:$E$97,
    "Other"
)</f>
        <v>Other</v>
      </c>
      <c r="E912">
        <f t="shared" si="28"/>
        <v>0</v>
      </c>
      <c r="F912">
        <f t="shared" si="29"/>
        <v>0</v>
      </c>
    </row>
    <row r="913" spans="1:6" x14ac:dyDescent="0.35">
      <c r="A913">
        <v>2017</v>
      </c>
      <c r="B913">
        <v>26</v>
      </c>
      <c r="C913" t="s">
        <v>165</v>
      </c>
      <c r="D913" t="str" cm="1">
        <f t="array" ref="D913">_xlfn.XLOOKUP(1,
    ('team lookup'!$C$3:$C$97 = B913) * ('team lookup'!$A$3:$A$97 &lt;= A913) * (IF('team lookup'!$B$3:$B$97 = "", 9999, 'team lookup'!$B$3:$B$97) &gt;= A913),
    'team lookup'!$E$3:$E$97,
    "Other"
)</f>
        <v>Other</v>
      </c>
      <c r="E913">
        <f t="shared" si="28"/>
        <v>0</v>
      </c>
      <c r="F913">
        <f t="shared" si="29"/>
        <v>0</v>
      </c>
    </row>
    <row r="914" spans="1:6" x14ac:dyDescent="0.35">
      <c r="A914">
        <v>2017</v>
      </c>
      <c r="B914">
        <v>350</v>
      </c>
      <c r="C914" t="s">
        <v>231</v>
      </c>
      <c r="D914" t="str" cm="1">
        <f t="array" ref="D914">_xlfn.XLOOKUP(1,
    ('team lookup'!$C$3:$C$97 = B914) * ('team lookup'!$A$3:$A$97 &lt;= A914) * (IF('team lookup'!$B$3:$B$97 = "", 9999, 'team lookup'!$B$3:$B$97) &gt;= A914),
    'team lookup'!$E$3:$E$97,
    "Other"
)</f>
        <v>Other</v>
      </c>
      <c r="E914">
        <f t="shared" si="28"/>
        <v>0</v>
      </c>
      <c r="F914">
        <f t="shared" si="29"/>
        <v>0</v>
      </c>
    </row>
    <row r="915" spans="1:6" x14ac:dyDescent="0.35">
      <c r="A915">
        <v>2017</v>
      </c>
      <c r="B915">
        <v>30</v>
      </c>
      <c r="C915" t="s">
        <v>169</v>
      </c>
      <c r="D915" t="str" cm="1">
        <f t="array" ref="D915">_xlfn.XLOOKUP(1,
    ('team lookup'!$C$3:$C$97 = B915) * ('team lookup'!$A$3:$A$97 &lt;= A915) * (IF('team lookup'!$B$3:$B$97 = "", 9999, 'team lookup'!$B$3:$B$97) &gt;= A915),
    'team lookup'!$E$3:$E$97,
    "Other"
)</f>
        <v>Other</v>
      </c>
      <c r="E915">
        <f t="shared" si="28"/>
        <v>0</v>
      </c>
      <c r="F915">
        <f t="shared" si="29"/>
        <v>0</v>
      </c>
    </row>
    <row r="916" spans="1:6" x14ac:dyDescent="0.35">
      <c r="A916">
        <v>2017</v>
      </c>
      <c r="B916">
        <v>238</v>
      </c>
      <c r="C916" t="s">
        <v>171</v>
      </c>
      <c r="D916" t="str" cm="1">
        <f t="array" ref="D916">_xlfn.XLOOKUP(1,
    ('team lookup'!$C$3:$C$97 = B916) * ('team lookup'!$A$3:$A$97 &lt;= A916) * (IF('team lookup'!$B$3:$B$97 = "", 9999, 'team lookup'!$B$3:$B$97) &gt;= A916),
    'team lookup'!$E$3:$E$97,
    "Other"
)</f>
        <v>SEC</v>
      </c>
      <c r="E916">
        <f t="shared" si="28"/>
        <v>1</v>
      </c>
      <c r="F916">
        <f t="shared" si="29"/>
        <v>1</v>
      </c>
    </row>
    <row r="917" spans="1:6" x14ac:dyDescent="0.35">
      <c r="A917">
        <v>2017</v>
      </c>
      <c r="B917">
        <v>2670</v>
      </c>
      <c r="C917" t="s">
        <v>186</v>
      </c>
      <c r="D917" t="str" cm="1">
        <f t="array" ref="D917">_xlfn.XLOOKUP(1,
    ('team lookup'!$C$3:$C$97 = B917) * ('team lookup'!$A$3:$A$97 &lt;= A917) * (IF('team lookup'!$B$3:$B$97 = "", 9999, 'team lookup'!$B$3:$B$97) &gt;= A917),
    'team lookup'!$E$3:$E$97,
    "Other"
)</f>
        <v>Other</v>
      </c>
      <c r="E917">
        <f t="shared" si="28"/>
        <v>0</v>
      </c>
      <c r="F917">
        <f t="shared" si="29"/>
        <v>0</v>
      </c>
    </row>
    <row r="918" spans="1:6" x14ac:dyDescent="0.35">
      <c r="A918">
        <v>2017</v>
      </c>
      <c r="B918">
        <v>261</v>
      </c>
      <c r="C918" t="s">
        <v>195</v>
      </c>
      <c r="D918" t="str" cm="1">
        <f t="array" ref="D918">_xlfn.XLOOKUP(1,
    ('team lookup'!$C$3:$C$97 = B918) * ('team lookup'!$A$3:$A$97 &lt;= A918) * (IF('team lookup'!$B$3:$B$97 = "", 9999, 'team lookup'!$B$3:$B$97) &gt;= A918),
    'team lookup'!$E$3:$E$97,
    "Other"
)</f>
        <v>Other</v>
      </c>
      <c r="E918">
        <f t="shared" si="28"/>
        <v>0</v>
      </c>
      <c r="F918">
        <f t="shared" si="29"/>
        <v>0</v>
      </c>
    </row>
    <row r="919" spans="1:6" x14ac:dyDescent="0.35">
      <c r="A919">
        <v>2017</v>
      </c>
      <c r="B919">
        <v>222</v>
      </c>
      <c r="C919" t="s">
        <v>172</v>
      </c>
      <c r="D919" t="str" cm="1">
        <f t="array" ref="D919">_xlfn.XLOOKUP(1,
    ('team lookup'!$C$3:$C$97 = B919) * ('team lookup'!$A$3:$A$97 &lt;= A919) * (IF('team lookup'!$B$3:$B$97 = "", 9999, 'team lookup'!$B$3:$B$97) &gt;= A919),
    'team lookup'!$E$3:$E$97,
    "Other"
)</f>
        <v>Big East</v>
      </c>
      <c r="E919">
        <f t="shared" si="28"/>
        <v>0</v>
      </c>
      <c r="F919">
        <f t="shared" si="29"/>
        <v>1</v>
      </c>
    </row>
    <row r="920" spans="1:6" x14ac:dyDescent="0.35">
      <c r="A920">
        <v>2017</v>
      </c>
      <c r="B920">
        <v>258</v>
      </c>
      <c r="C920" t="s">
        <v>209</v>
      </c>
      <c r="D920" t="str" cm="1">
        <f t="array" ref="D920">_xlfn.XLOOKUP(1,
    ('team lookup'!$C$3:$C$97 = B920) * ('team lookup'!$A$3:$A$97 &lt;= A920) * (IF('team lookup'!$B$3:$B$97 = "", 9999, 'team lookup'!$B$3:$B$97) &gt;= A920),
    'team lookup'!$E$3:$E$97,
    "Other"
)</f>
        <v>ACC</v>
      </c>
      <c r="E920">
        <f t="shared" si="28"/>
        <v>1</v>
      </c>
      <c r="F920">
        <f t="shared" si="29"/>
        <v>1</v>
      </c>
    </row>
    <row r="921" spans="1:6" x14ac:dyDescent="0.35">
      <c r="A921">
        <v>2017</v>
      </c>
      <c r="B921">
        <v>259</v>
      </c>
      <c r="C921" t="s">
        <v>239</v>
      </c>
      <c r="D921" t="str" cm="1">
        <f t="array" ref="D921">_xlfn.XLOOKUP(1,
    ('team lookup'!$C$3:$C$97 = B921) * ('team lookup'!$A$3:$A$97 &lt;= A921) * (IF('team lookup'!$B$3:$B$97 = "", 9999, 'team lookup'!$B$3:$B$97) &gt;= A921),
    'team lookup'!$E$3:$E$97,
    "Other"
)</f>
        <v>ACC</v>
      </c>
      <c r="E921">
        <f t="shared" si="28"/>
        <v>1</v>
      </c>
      <c r="F921">
        <f t="shared" si="29"/>
        <v>1</v>
      </c>
    </row>
    <row r="922" spans="1:6" x14ac:dyDescent="0.35">
      <c r="A922">
        <v>2017</v>
      </c>
      <c r="B922">
        <v>277</v>
      </c>
      <c r="C922" t="s">
        <v>174</v>
      </c>
      <c r="D922" t="str" cm="1">
        <f t="array" ref="D922">_xlfn.XLOOKUP(1,
    ('team lookup'!$C$3:$C$97 = B922) * ('team lookup'!$A$3:$A$97 &lt;= A922) * (IF('team lookup'!$B$3:$B$97 = "", 9999, 'team lookup'!$B$3:$B$97) &gt;= A922),
    'team lookup'!$E$3:$E$97,
    "Other"
)</f>
        <v>Big12</v>
      </c>
      <c r="E922">
        <f t="shared" si="28"/>
        <v>1</v>
      </c>
      <c r="F922">
        <f t="shared" si="29"/>
        <v>1</v>
      </c>
    </row>
    <row r="923" spans="1:6" x14ac:dyDescent="0.35">
      <c r="A923">
        <v>2017</v>
      </c>
      <c r="B923">
        <v>2724</v>
      </c>
      <c r="C923" t="s">
        <v>210</v>
      </c>
      <c r="D923" t="str" cm="1">
        <f t="array" ref="D923">_xlfn.XLOOKUP(1,
    ('team lookup'!$C$3:$C$97 = B923) * ('team lookup'!$A$3:$A$97 &lt;= A923) * (IF('team lookup'!$B$3:$B$97 = "", 9999, 'team lookup'!$B$3:$B$97) &gt;= A923),
    'team lookup'!$E$3:$E$97,
    "Other"
)</f>
        <v>Other</v>
      </c>
      <c r="E923">
        <f t="shared" si="28"/>
        <v>0</v>
      </c>
      <c r="F923">
        <f t="shared" si="29"/>
        <v>0</v>
      </c>
    </row>
    <row r="924" spans="1:6" x14ac:dyDescent="0.35">
      <c r="A924">
        <v>2017</v>
      </c>
      <c r="B924">
        <v>2737</v>
      </c>
      <c r="C924" t="s">
        <v>176</v>
      </c>
      <c r="D924" t="str" cm="1">
        <f t="array" ref="D924">_xlfn.XLOOKUP(1,
    ('team lookup'!$C$3:$C$97 = B924) * ('team lookup'!$A$3:$A$97 &lt;= A924) * (IF('team lookup'!$B$3:$B$97 = "", 9999, 'team lookup'!$B$3:$B$97) &gt;= A924),
    'team lookup'!$E$3:$E$97,
    "Other"
)</f>
        <v>Other</v>
      </c>
      <c r="E924">
        <f t="shared" si="28"/>
        <v>0</v>
      </c>
      <c r="F924">
        <f t="shared" si="29"/>
        <v>0</v>
      </c>
    </row>
    <row r="925" spans="1:6" x14ac:dyDescent="0.35">
      <c r="A925">
        <v>2017</v>
      </c>
      <c r="B925">
        <v>275</v>
      </c>
      <c r="C925" t="s">
        <v>177</v>
      </c>
      <c r="D925" t="str" cm="1">
        <f t="array" ref="D925">_xlfn.XLOOKUP(1,
    ('team lookup'!$C$3:$C$97 = B925) * ('team lookup'!$A$3:$A$97 &lt;= A925) * (IF('team lookup'!$B$3:$B$97 = "", 9999, 'team lookup'!$B$3:$B$97) &gt;= A925),
    'team lookup'!$E$3:$E$97,
    "Other"
)</f>
        <v>Big Ten</v>
      </c>
      <c r="E925">
        <f t="shared" si="28"/>
        <v>0</v>
      </c>
      <c r="F925">
        <f t="shared" si="29"/>
        <v>1</v>
      </c>
    </row>
    <row r="926" spans="1:6" x14ac:dyDescent="0.35">
      <c r="A926">
        <v>2017</v>
      </c>
      <c r="B926">
        <v>2752</v>
      </c>
      <c r="C926" t="s">
        <v>178</v>
      </c>
      <c r="D926" t="str" cm="1">
        <f t="array" ref="D926">_xlfn.XLOOKUP(1,
    ('team lookup'!$C$3:$C$97 = B926) * ('team lookup'!$A$3:$A$97 &lt;= A926) * (IF('team lookup'!$B$3:$B$97 = "", 9999, 'team lookup'!$B$3:$B$97) &gt;= A926),
    'team lookup'!$E$3:$E$97,
    "Other"
)</f>
        <v>Big East</v>
      </c>
      <c r="E926">
        <f t="shared" si="28"/>
        <v>0</v>
      </c>
      <c r="F926">
        <f t="shared" si="29"/>
        <v>1</v>
      </c>
    </row>
    <row r="927" spans="1:6" x14ac:dyDescent="0.35">
      <c r="A927">
        <v>2018</v>
      </c>
      <c r="B927">
        <v>166</v>
      </c>
      <c r="C927" t="s">
        <v>65</v>
      </c>
      <c r="D927" t="str" cm="1">
        <f t="array" ref="D927">_xlfn.XLOOKUP(1,
    ('team lookup'!$C$3:$C$97 = B927) * ('team lookup'!$A$3:$A$97 &lt;= A927) * (IF('team lookup'!$B$3:$B$97 = "", 9999, 'team lookup'!$B$3:$B$97) &gt;= A927),
    'team lookup'!$E$3:$E$97,
    "Other"
)</f>
        <v>Other</v>
      </c>
      <c r="E927">
        <f t="shared" si="28"/>
        <v>0</v>
      </c>
      <c r="F927">
        <f t="shared" si="29"/>
        <v>0</v>
      </c>
    </row>
    <row r="928" spans="1:6" x14ac:dyDescent="0.35">
      <c r="A928">
        <v>2018</v>
      </c>
      <c r="B928">
        <v>153</v>
      </c>
      <c r="C928" t="s">
        <v>35</v>
      </c>
      <c r="D928" t="str" cm="1">
        <f t="array" ref="D928">_xlfn.XLOOKUP(1,
    ('team lookup'!$C$3:$C$97 = B928) * ('team lookup'!$A$3:$A$97 &lt;= A928) * (IF('team lookup'!$B$3:$B$97 = "", 9999, 'team lookup'!$B$3:$B$97) &gt;= A928),
    'team lookup'!$E$3:$E$97,
    "Other"
)</f>
        <v>ACC</v>
      </c>
      <c r="E928">
        <f t="shared" si="28"/>
        <v>1</v>
      </c>
      <c r="F928">
        <f t="shared" si="29"/>
        <v>1</v>
      </c>
    </row>
    <row r="929" spans="1:6" x14ac:dyDescent="0.35">
      <c r="A929">
        <v>2018</v>
      </c>
      <c r="B929">
        <v>194</v>
      </c>
      <c r="C929" t="s">
        <v>77</v>
      </c>
      <c r="D929" t="str" cm="1">
        <f t="array" ref="D929">_xlfn.XLOOKUP(1,
    ('team lookup'!$C$3:$C$97 = B929) * ('team lookup'!$A$3:$A$97 &lt;= A929) * (IF('team lookup'!$B$3:$B$97 = "", 9999, 'team lookup'!$B$3:$B$97) &gt;= A929),
    'team lookup'!$E$3:$E$97,
    "Other"
)</f>
        <v>Big Ten</v>
      </c>
      <c r="E929">
        <f t="shared" si="28"/>
        <v>0</v>
      </c>
      <c r="F929">
        <f t="shared" si="29"/>
        <v>1</v>
      </c>
    </row>
    <row r="930" spans="1:6" x14ac:dyDescent="0.35">
      <c r="A930">
        <v>2018</v>
      </c>
      <c r="B930">
        <v>201</v>
      </c>
      <c r="C930" t="s">
        <v>121</v>
      </c>
      <c r="D930" t="str" cm="1">
        <f t="array" ref="D930">_xlfn.XLOOKUP(1,
    ('team lookup'!$C$3:$C$97 = B930) * ('team lookup'!$A$3:$A$97 &lt;= A930) * (IF('team lookup'!$B$3:$B$97 = "", 9999, 'team lookup'!$B$3:$B$97) &gt;= A930),
    'team lookup'!$E$3:$E$97,
    "Other"
)</f>
        <v>Big12</v>
      </c>
      <c r="E930">
        <f t="shared" si="28"/>
        <v>1</v>
      </c>
      <c r="F930">
        <f t="shared" si="29"/>
        <v>1</v>
      </c>
    </row>
    <row r="931" spans="1:6" x14ac:dyDescent="0.35">
      <c r="A931">
        <v>2018</v>
      </c>
      <c r="B931">
        <v>219</v>
      </c>
      <c r="C931" t="s">
        <v>240</v>
      </c>
      <c r="D931" t="str" cm="1">
        <f t="array" ref="D931">_xlfn.XLOOKUP(1,
    ('team lookup'!$C$3:$C$97 = B931) * ('team lookup'!$A$3:$A$97 &lt;= A931) * (IF('team lookup'!$B$3:$B$97 = "", 9999, 'team lookup'!$B$3:$B$97) &gt;= A931),
    'team lookup'!$E$3:$E$97,
    "Other"
)</f>
        <v>Other</v>
      </c>
      <c r="E931">
        <f t="shared" si="28"/>
        <v>0</v>
      </c>
      <c r="F931">
        <f t="shared" si="29"/>
        <v>0</v>
      </c>
    </row>
    <row r="932" spans="1:6" x14ac:dyDescent="0.35">
      <c r="A932">
        <v>2018</v>
      </c>
      <c r="B932">
        <v>2507</v>
      </c>
      <c r="C932" t="s">
        <v>217</v>
      </c>
      <c r="D932" t="str" cm="1">
        <f t="array" ref="D932">_xlfn.XLOOKUP(1,
    ('team lookup'!$C$3:$C$97 = B932) * ('team lookup'!$A$3:$A$97 &lt;= A932) * (IF('team lookup'!$B$3:$B$97 = "", 9999, 'team lookup'!$B$3:$B$97) &gt;= A932),
    'team lookup'!$E$3:$E$97,
    "Other"
)</f>
        <v>Big East</v>
      </c>
      <c r="E932">
        <f t="shared" si="28"/>
        <v>0</v>
      </c>
      <c r="F932">
        <f t="shared" si="29"/>
        <v>1</v>
      </c>
    </row>
    <row r="933" spans="1:6" x14ac:dyDescent="0.35">
      <c r="A933">
        <v>2018</v>
      </c>
      <c r="B933">
        <v>2509</v>
      </c>
      <c r="C933" t="s">
        <v>154</v>
      </c>
      <c r="D933" t="str" cm="1">
        <f t="array" ref="D933">_xlfn.XLOOKUP(1,
    ('team lookup'!$C$3:$C$97 = B933) * ('team lookup'!$A$3:$A$97 &lt;= A933) * (IF('team lookup'!$B$3:$B$97 = "", 9999, 'team lookup'!$B$3:$B$97) &gt;= A933),
    'team lookup'!$E$3:$E$97,
    "Other"
)</f>
        <v>Big Ten</v>
      </c>
      <c r="E933">
        <f t="shared" si="28"/>
        <v>0</v>
      </c>
      <c r="F933">
        <f t="shared" si="29"/>
        <v>1</v>
      </c>
    </row>
    <row r="934" spans="1:6" x14ac:dyDescent="0.35">
      <c r="A934">
        <v>2018</v>
      </c>
      <c r="B934">
        <v>2515</v>
      </c>
      <c r="C934" t="s">
        <v>180</v>
      </c>
      <c r="D934" t="str" cm="1">
        <f t="array" ref="D934">_xlfn.XLOOKUP(1,
    ('team lookup'!$C$3:$C$97 = B934) * ('team lookup'!$A$3:$A$97 &lt;= A934) * (IF('team lookup'!$B$3:$B$97 = "", 9999, 'team lookup'!$B$3:$B$97) &gt;= A934),
    'team lookup'!$E$3:$E$97,
    "Other"
)</f>
        <v>Other</v>
      </c>
      <c r="E934">
        <f t="shared" si="28"/>
        <v>0</v>
      </c>
      <c r="F934">
        <f t="shared" si="29"/>
        <v>0</v>
      </c>
    </row>
    <row r="935" spans="1:6" x14ac:dyDescent="0.35">
      <c r="A935">
        <v>2018</v>
      </c>
      <c r="B935">
        <v>227</v>
      </c>
      <c r="C935" t="s">
        <v>235</v>
      </c>
      <c r="D935" t="str" cm="1">
        <f t="array" ref="D935">_xlfn.XLOOKUP(1,
    ('team lookup'!$C$3:$C$97 = B935) * ('team lookup'!$A$3:$A$97 &lt;= A935) * (IF('team lookup'!$B$3:$B$97 = "", 9999, 'team lookup'!$B$3:$B$97) &gt;= A935),
    'team lookup'!$E$3:$E$97,
    "Other"
)</f>
        <v>Other</v>
      </c>
      <c r="E935">
        <f t="shared" si="28"/>
        <v>0</v>
      </c>
      <c r="F935">
        <f t="shared" si="29"/>
        <v>0</v>
      </c>
    </row>
    <row r="936" spans="1:6" x14ac:dyDescent="0.35">
      <c r="A936">
        <v>2018</v>
      </c>
      <c r="B936">
        <v>2571</v>
      </c>
      <c r="C936" t="s">
        <v>204</v>
      </c>
      <c r="D936" t="str" cm="1">
        <f t="array" ref="D936">_xlfn.XLOOKUP(1,
    ('team lookup'!$C$3:$C$97 = B936) * ('team lookup'!$A$3:$A$97 &lt;= A936) * (IF('team lookup'!$B$3:$B$97 = "", 9999, 'team lookup'!$B$3:$B$97) &gt;= A936),
    'team lookup'!$E$3:$E$97,
    "Other"
)</f>
        <v>Other</v>
      </c>
      <c r="E936">
        <f t="shared" si="28"/>
        <v>0</v>
      </c>
      <c r="F936">
        <f t="shared" si="29"/>
        <v>0</v>
      </c>
    </row>
    <row r="937" spans="1:6" x14ac:dyDescent="0.35">
      <c r="A937">
        <v>2018</v>
      </c>
      <c r="B937">
        <v>21</v>
      </c>
      <c r="C937" t="s">
        <v>192</v>
      </c>
      <c r="D937" t="str" cm="1">
        <f t="array" ref="D937">_xlfn.XLOOKUP(1,
    ('team lookup'!$C$3:$C$97 = B937) * ('team lookup'!$A$3:$A$97 &lt;= A937) * (IF('team lookup'!$B$3:$B$97 = "", 9999, 'team lookup'!$B$3:$B$97) &gt;= A937),
    'team lookup'!$E$3:$E$97,
    "Other"
)</f>
        <v>Other</v>
      </c>
      <c r="E937">
        <f t="shared" si="28"/>
        <v>0</v>
      </c>
      <c r="F937">
        <f t="shared" si="29"/>
        <v>0</v>
      </c>
    </row>
    <row r="938" spans="1:6" x14ac:dyDescent="0.35">
      <c r="A938">
        <v>2018</v>
      </c>
      <c r="B938">
        <v>2550</v>
      </c>
      <c r="C938" t="s">
        <v>228</v>
      </c>
      <c r="D938" t="str" cm="1">
        <f t="array" ref="D938">_xlfn.XLOOKUP(1,
    ('team lookup'!$C$3:$C$97 = B938) * ('team lookup'!$A$3:$A$97 &lt;= A938) * (IF('team lookup'!$B$3:$B$97 = "", 9999, 'team lookup'!$B$3:$B$97) &gt;= A938),
    'team lookup'!$E$3:$E$97,
    "Other"
)</f>
        <v>Big East</v>
      </c>
      <c r="E938">
        <f t="shared" si="28"/>
        <v>0</v>
      </c>
      <c r="F938">
        <f t="shared" si="29"/>
        <v>1</v>
      </c>
    </row>
    <row r="939" spans="1:6" x14ac:dyDescent="0.35">
      <c r="A939">
        <v>2018</v>
      </c>
      <c r="B939">
        <v>2617</v>
      </c>
      <c r="C939" t="s">
        <v>182</v>
      </c>
      <c r="D939" t="str" cm="1">
        <f t="array" ref="D939">_xlfn.XLOOKUP(1,
    ('team lookup'!$C$3:$C$97 = B939) * ('team lookup'!$A$3:$A$97 &lt;= A939) * (IF('team lookup'!$B$3:$B$97 = "", 9999, 'team lookup'!$B$3:$B$97) &gt;= A939),
    'team lookup'!$E$3:$E$97,
    "Other"
)</f>
        <v>Other</v>
      </c>
      <c r="E939">
        <f t="shared" si="28"/>
        <v>0</v>
      </c>
      <c r="F939">
        <f t="shared" si="29"/>
        <v>0</v>
      </c>
    </row>
    <row r="940" spans="1:6" x14ac:dyDescent="0.35">
      <c r="A940">
        <v>2018</v>
      </c>
      <c r="B940">
        <v>179</v>
      </c>
      <c r="C940" t="s">
        <v>208</v>
      </c>
      <c r="D940" t="str" cm="1">
        <f t="array" ref="D940">_xlfn.XLOOKUP(1,
    ('team lookup'!$C$3:$C$97 = B940) * ('team lookup'!$A$3:$A$97 &lt;= A940) * (IF('team lookup'!$B$3:$B$97 = "", 9999, 'team lookup'!$B$3:$B$97) &gt;= A940),
    'team lookup'!$E$3:$E$97,
    "Other"
)</f>
        <v>Other</v>
      </c>
      <c r="E940">
        <f t="shared" si="28"/>
        <v>0</v>
      </c>
      <c r="F940">
        <f t="shared" si="29"/>
        <v>0</v>
      </c>
    </row>
    <row r="941" spans="1:6" x14ac:dyDescent="0.35">
      <c r="A941">
        <v>2018</v>
      </c>
      <c r="B941">
        <v>183</v>
      </c>
      <c r="C941" t="s">
        <v>183</v>
      </c>
      <c r="D941" t="str" cm="1">
        <f t="array" ref="D941">_xlfn.XLOOKUP(1,
    ('team lookup'!$C$3:$C$97 = B941) * ('team lookup'!$A$3:$A$97 &lt;= A941) * (IF('team lookup'!$B$3:$B$97 = "", 9999, 'team lookup'!$B$3:$B$97) &gt;= A941),
    'team lookup'!$E$3:$E$97,
    "Other"
)</f>
        <v>ACC</v>
      </c>
      <c r="E941">
        <f t="shared" si="28"/>
        <v>1</v>
      </c>
      <c r="F941">
        <f t="shared" si="29"/>
        <v>1</v>
      </c>
    </row>
    <row r="942" spans="1:6" x14ac:dyDescent="0.35">
      <c r="A942">
        <v>2018</v>
      </c>
      <c r="B942">
        <v>2628</v>
      </c>
      <c r="C942" t="s">
        <v>241</v>
      </c>
      <c r="D942" t="str" cm="1">
        <f t="array" ref="D942">_xlfn.XLOOKUP(1,
    ('team lookup'!$C$3:$C$97 = B942) * ('team lookup'!$A$3:$A$97 &lt;= A942) * (IF('team lookup'!$B$3:$B$97 = "", 9999, 'team lookup'!$B$3:$B$97) &gt;= A942),
    'team lookup'!$E$3:$E$97,
    "Other"
)</f>
        <v>Big12</v>
      </c>
      <c r="E942">
        <f t="shared" si="28"/>
        <v>1</v>
      </c>
      <c r="F942">
        <f t="shared" si="29"/>
        <v>1</v>
      </c>
    </row>
    <row r="943" spans="1:6" x14ac:dyDescent="0.35">
      <c r="A943">
        <v>2018</v>
      </c>
      <c r="B943">
        <v>2633</v>
      </c>
      <c r="C943" t="s">
        <v>162</v>
      </c>
      <c r="D943" t="str" cm="1">
        <f t="array" ref="D943">_xlfn.XLOOKUP(1,
    ('team lookup'!$C$3:$C$97 = B943) * ('team lookup'!$A$3:$A$97 &lt;= A943) * (IF('team lookup'!$B$3:$B$97 = "", 9999, 'team lookup'!$B$3:$B$97) &gt;= A943),
    'team lookup'!$E$3:$E$97,
    "Other"
)</f>
        <v>SEC</v>
      </c>
      <c r="E943">
        <f t="shared" si="28"/>
        <v>1</v>
      </c>
      <c r="F943">
        <f t="shared" si="29"/>
        <v>1</v>
      </c>
    </row>
    <row r="944" spans="1:6" x14ac:dyDescent="0.35">
      <c r="A944">
        <v>2018</v>
      </c>
      <c r="B944">
        <v>251</v>
      </c>
      <c r="C944" t="s">
        <v>163</v>
      </c>
      <c r="D944" t="str" cm="1">
        <f t="array" ref="D944">_xlfn.XLOOKUP(1,
    ('team lookup'!$C$3:$C$97 = B944) * ('team lookup'!$A$3:$A$97 &lt;= A944) * (IF('team lookup'!$B$3:$B$97 = "", 9999, 'team lookup'!$B$3:$B$97) &gt;= A944),
    'team lookup'!$E$3:$E$97,
    "Other"
)</f>
        <v>Big12</v>
      </c>
      <c r="E944">
        <f t="shared" si="28"/>
        <v>1</v>
      </c>
      <c r="F944">
        <f t="shared" si="29"/>
        <v>1</v>
      </c>
    </row>
    <row r="945" spans="1:6" x14ac:dyDescent="0.35">
      <c r="A945">
        <v>2018</v>
      </c>
      <c r="B945">
        <v>245</v>
      </c>
      <c r="C945" t="s">
        <v>164</v>
      </c>
      <c r="D945" t="str" cm="1">
        <f t="array" ref="D945">_xlfn.XLOOKUP(1,
    ('team lookup'!$C$3:$C$97 = B945) * ('team lookup'!$A$3:$A$97 &lt;= A945) * (IF('team lookup'!$B$3:$B$97 = "", 9999, 'team lookup'!$B$3:$B$97) &gt;= A945),
    'team lookup'!$E$3:$E$97,
    "Other"
)</f>
        <v>SEC</v>
      </c>
      <c r="E945">
        <f t="shared" si="28"/>
        <v>1</v>
      </c>
      <c r="F945">
        <f t="shared" si="29"/>
        <v>1</v>
      </c>
    </row>
    <row r="946" spans="1:6" x14ac:dyDescent="0.35">
      <c r="A946">
        <v>2018</v>
      </c>
      <c r="B946">
        <v>2640</v>
      </c>
      <c r="C946" t="s">
        <v>218</v>
      </c>
      <c r="D946" t="str" cm="1">
        <f t="array" ref="D946">_xlfn.XLOOKUP(1,
    ('team lookup'!$C$3:$C$97 = B946) * ('team lookup'!$A$3:$A$97 &lt;= A946) * (IF('team lookup'!$B$3:$B$97 = "", 9999, 'team lookup'!$B$3:$B$97) &gt;= A946),
    'team lookup'!$E$3:$E$97,
    "Other"
)</f>
        <v>Other</v>
      </c>
      <c r="E946">
        <f t="shared" si="28"/>
        <v>0</v>
      </c>
      <c r="F946">
        <f t="shared" si="29"/>
        <v>0</v>
      </c>
    </row>
    <row r="947" spans="1:6" x14ac:dyDescent="0.35">
      <c r="A947">
        <v>2018</v>
      </c>
      <c r="B947">
        <v>2641</v>
      </c>
      <c r="C947" t="s">
        <v>230</v>
      </c>
      <c r="D947" t="str" cm="1">
        <f t="array" ref="D947">_xlfn.XLOOKUP(1,
    ('team lookup'!$C$3:$C$97 = B947) * ('team lookup'!$A$3:$A$97 &lt;= A947) * (IF('team lookup'!$B$3:$B$97 = "", 9999, 'team lookup'!$B$3:$B$97) &gt;= A947),
    'team lookup'!$E$3:$E$97,
    "Other"
)</f>
        <v>Big12</v>
      </c>
      <c r="E947">
        <f t="shared" si="28"/>
        <v>1</v>
      </c>
      <c r="F947">
        <f t="shared" si="29"/>
        <v>1</v>
      </c>
    </row>
    <row r="948" spans="1:6" x14ac:dyDescent="0.35">
      <c r="A948">
        <v>2018</v>
      </c>
      <c r="B948">
        <v>26</v>
      </c>
      <c r="C948" t="s">
        <v>165</v>
      </c>
      <c r="D948" t="str" cm="1">
        <f t="array" ref="D948">_xlfn.XLOOKUP(1,
    ('team lookup'!$C$3:$C$97 = B948) * ('team lookup'!$A$3:$A$97 &lt;= A948) * (IF('team lookup'!$B$3:$B$97 = "", 9999, 'team lookup'!$B$3:$B$97) &gt;= A948),
    'team lookup'!$E$3:$E$97,
    "Other"
)</f>
        <v>Other</v>
      </c>
      <c r="E948">
        <f t="shared" si="28"/>
        <v>0</v>
      </c>
      <c r="F948">
        <f t="shared" si="29"/>
        <v>0</v>
      </c>
    </row>
    <row r="949" spans="1:6" x14ac:dyDescent="0.35">
      <c r="A949">
        <v>2018</v>
      </c>
      <c r="B949">
        <v>2378</v>
      </c>
      <c r="C949" t="s">
        <v>167</v>
      </c>
      <c r="D949" t="str" cm="1">
        <f t="array" ref="D949">_xlfn.XLOOKUP(1,
    ('team lookup'!$C$3:$C$97 = B949) * ('team lookup'!$A$3:$A$97 &lt;= A949) * (IF('team lookup'!$B$3:$B$97 = "", 9999, 'team lookup'!$B$3:$B$97) &gt;= A949),
    'team lookup'!$E$3:$E$97,
    "Other"
)</f>
        <v>Other</v>
      </c>
      <c r="E949">
        <f t="shared" si="28"/>
        <v>0</v>
      </c>
      <c r="F949">
        <f t="shared" si="29"/>
        <v>0</v>
      </c>
    </row>
    <row r="950" spans="1:6" x14ac:dyDescent="0.35">
      <c r="A950">
        <v>2018</v>
      </c>
      <c r="B950">
        <v>2430</v>
      </c>
      <c r="C950" t="s">
        <v>242</v>
      </c>
      <c r="D950" t="str" cm="1">
        <f t="array" ref="D950">_xlfn.XLOOKUP(1,
    ('team lookup'!$C$3:$C$97 = B950) * ('team lookup'!$A$3:$A$97 &lt;= A950) * (IF('team lookup'!$B$3:$B$97 = "", 9999, 'team lookup'!$B$3:$B$97) &gt;= A950),
    'team lookup'!$E$3:$E$97,
    "Other"
)</f>
        <v>Other</v>
      </c>
      <c r="E950">
        <f t="shared" si="28"/>
        <v>0</v>
      </c>
      <c r="F950">
        <f t="shared" si="29"/>
        <v>0</v>
      </c>
    </row>
    <row r="951" spans="1:6" x14ac:dyDescent="0.35">
      <c r="A951">
        <v>2018</v>
      </c>
      <c r="B951">
        <v>222</v>
      </c>
      <c r="C951" t="s">
        <v>172</v>
      </c>
      <c r="D951" t="str" cm="1">
        <f t="array" ref="D951">_xlfn.XLOOKUP(1,
    ('team lookup'!$C$3:$C$97 = B951) * ('team lookup'!$A$3:$A$97 &lt;= A951) * (IF('team lookup'!$B$3:$B$97 = "", 9999, 'team lookup'!$B$3:$B$97) &gt;= A951),
    'team lookup'!$E$3:$E$97,
    "Other"
)</f>
        <v>Big East</v>
      </c>
      <c r="E951">
        <f t="shared" si="28"/>
        <v>0</v>
      </c>
      <c r="F951">
        <f t="shared" si="29"/>
        <v>1</v>
      </c>
    </row>
    <row r="952" spans="1:6" x14ac:dyDescent="0.35">
      <c r="A952">
        <v>2018</v>
      </c>
      <c r="B952">
        <v>258</v>
      </c>
      <c r="C952" t="s">
        <v>209</v>
      </c>
      <c r="D952" t="str" cm="1">
        <f t="array" ref="D952">_xlfn.XLOOKUP(1,
    ('team lookup'!$C$3:$C$97 = B952) * ('team lookup'!$A$3:$A$97 &lt;= A952) * (IF('team lookup'!$B$3:$B$97 = "", 9999, 'team lookup'!$B$3:$B$97) &gt;= A952),
    'team lookup'!$E$3:$E$97,
    "Other"
)</f>
        <v>ACC</v>
      </c>
      <c r="E952">
        <f t="shared" si="28"/>
        <v>1</v>
      </c>
      <c r="F952">
        <f t="shared" si="29"/>
        <v>1</v>
      </c>
    </row>
    <row r="953" spans="1:6" x14ac:dyDescent="0.35">
      <c r="A953">
        <v>2018</v>
      </c>
      <c r="B953">
        <v>259</v>
      </c>
      <c r="C953" t="s">
        <v>239</v>
      </c>
      <c r="D953" t="str" cm="1">
        <f t="array" ref="D953">_xlfn.XLOOKUP(1,
    ('team lookup'!$C$3:$C$97 = B953) * ('team lookup'!$A$3:$A$97 &lt;= A953) * (IF('team lookup'!$B$3:$B$97 = "", 9999, 'team lookup'!$B$3:$B$97) &gt;= A953),
    'team lookup'!$E$3:$E$97,
    "Other"
)</f>
        <v>ACC</v>
      </c>
      <c r="E953">
        <f t="shared" si="28"/>
        <v>1</v>
      </c>
      <c r="F953">
        <f t="shared" si="29"/>
        <v>1</v>
      </c>
    </row>
    <row r="954" spans="1:6" x14ac:dyDescent="0.35">
      <c r="A954">
        <v>2018</v>
      </c>
      <c r="B954">
        <v>277</v>
      </c>
      <c r="C954" t="s">
        <v>174</v>
      </c>
      <c r="D954" t="str" cm="1">
        <f t="array" ref="D954">_xlfn.XLOOKUP(1,
    ('team lookup'!$C$3:$C$97 = B954) * ('team lookup'!$A$3:$A$97 &lt;= A954) * (IF('team lookup'!$B$3:$B$97 = "", 9999, 'team lookup'!$B$3:$B$97) &gt;= A954),
    'team lookup'!$E$3:$E$97,
    "Other"
)</f>
        <v>Big12</v>
      </c>
      <c r="E954">
        <f t="shared" si="28"/>
        <v>1</v>
      </c>
      <c r="F954">
        <f t="shared" si="29"/>
        <v>1</v>
      </c>
    </row>
    <row r="955" spans="1:6" x14ac:dyDescent="0.35">
      <c r="A955">
        <v>2018</v>
      </c>
      <c r="B955">
        <v>2724</v>
      </c>
      <c r="C955" t="s">
        <v>210</v>
      </c>
      <c r="D955" t="str" cm="1">
        <f t="array" ref="D955">_xlfn.XLOOKUP(1,
    ('team lookup'!$C$3:$C$97 = B955) * ('team lookup'!$A$3:$A$97 &lt;= A955) * (IF('team lookup'!$B$3:$B$97 = "", 9999, 'team lookup'!$B$3:$B$97) &gt;= A955),
    'team lookup'!$E$3:$E$97,
    "Other"
)</f>
        <v>Other</v>
      </c>
      <c r="E955">
        <f t="shared" si="28"/>
        <v>0</v>
      </c>
      <c r="F955">
        <f t="shared" si="29"/>
        <v>0</v>
      </c>
    </row>
    <row r="956" spans="1:6" x14ac:dyDescent="0.35">
      <c r="A956">
        <v>2018</v>
      </c>
      <c r="B956">
        <v>2750</v>
      </c>
      <c r="C956" t="s">
        <v>243</v>
      </c>
      <c r="D956" t="str" cm="1">
        <f t="array" ref="D956">_xlfn.XLOOKUP(1,
    ('team lookup'!$C$3:$C$97 = B956) * ('team lookup'!$A$3:$A$97 &lt;= A956) * (IF('team lookup'!$B$3:$B$97 = "", 9999, 'team lookup'!$B$3:$B$97) &gt;= A956),
    'team lookup'!$E$3:$E$97,
    "Other"
)</f>
        <v>Other</v>
      </c>
      <c r="E956">
        <f t="shared" si="28"/>
        <v>0</v>
      </c>
      <c r="F956">
        <f t="shared" si="29"/>
        <v>0</v>
      </c>
    </row>
    <row r="957" spans="1:6" x14ac:dyDescent="0.35">
      <c r="A957">
        <v>2018</v>
      </c>
      <c r="B957">
        <v>2752</v>
      </c>
      <c r="C957" t="s">
        <v>178</v>
      </c>
      <c r="D957" t="str" cm="1">
        <f t="array" ref="D957">_xlfn.XLOOKUP(1,
    ('team lookup'!$C$3:$C$97 = B957) * ('team lookup'!$A$3:$A$97 &lt;= A957) * (IF('team lookup'!$B$3:$B$97 = "", 9999, 'team lookup'!$B$3:$B$97) &gt;= A957),
    'team lookup'!$E$3:$E$97,
    "Other"
)</f>
        <v>Big East</v>
      </c>
      <c r="E957">
        <f t="shared" si="28"/>
        <v>0</v>
      </c>
      <c r="F957">
        <f t="shared" si="29"/>
        <v>1</v>
      </c>
    </row>
    <row r="958" spans="1:6" x14ac:dyDescent="0.35">
      <c r="A958">
        <v>2019</v>
      </c>
      <c r="B958">
        <v>2440</v>
      </c>
      <c r="C958" t="s">
        <v>125</v>
      </c>
      <c r="D958" t="str" cm="1">
        <f t="array" ref="D958">_xlfn.XLOOKUP(1,
    ('team lookup'!$C$3:$C$97 = B958) * ('team lookup'!$A$3:$A$97 &lt;= A958) * (IF('team lookup'!$B$3:$B$97 = "", 9999, 'team lookup'!$B$3:$B$97) &gt;= A958),
    'team lookup'!$E$3:$E$97,
    "Other"
)</f>
        <v>Other</v>
      </c>
      <c r="E958">
        <f t="shared" si="28"/>
        <v>0</v>
      </c>
      <c r="F958">
        <f t="shared" si="29"/>
        <v>0</v>
      </c>
    </row>
    <row r="959" spans="1:6" x14ac:dyDescent="0.35">
      <c r="A959">
        <v>2019</v>
      </c>
      <c r="B959">
        <v>166</v>
      </c>
      <c r="C959" t="s">
        <v>65</v>
      </c>
      <c r="D959" t="str" cm="1">
        <f t="array" ref="D959">_xlfn.XLOOKUP(1,
    ('team lookup'!$C$3:$C$97 = B959) * ('team lookup'!$A$3:$A$97 &lt;= A959) * (IF('team lookup'!$B$3:$B$97 = "", 9999, 'team lookup'!$B$3:$B$97) &gt;= A959),
    'team lookup'!$E$3:$E$97,
    "Other"
)</f>
        <v>Other</v>
      </c>
      <c r="E959">
        <f t="shared" si="28"/>
        <v>0</v>
      </c>
      <c r="F959">
        <f t="shared" si="29"/>
        <v>0</v>
      </c>
    </row>
    <row r="960" spans="1:6" x14ac:dyDescent="0.35">
      <c r="A960">
        <v>2019</v>
      </c>
      <c r="B960">
        <v>153</v>
      </c>
      <c r="C960" t="s">
        <v>35</v>
      </c>
      <c r="D960" t="str" cm="1">
        <f t="array" ref="D960">_xlfn.XLOOKUP(1,
    ('team lookup'!$C$3:$C$97 = B960) * ('team lookup'!$A$3:$A$97 &lt;= A960) * (IF('team lookup'!$B$3:$B$97 = "", 9999, 'team lookup'!$B$3:$B$97) &gt;= A960),
    'team lookup'!$E$3:$E$97,
    "Other"
)</f>
        <v>ACC</v>
      </c>
      <c r="E960">
        <f t="shared" si="28"/>
        <v>1</v>
      </c>
      <c r="F960">
        <f t="shared" si="29"/>
        <v>1</v>
      </c>
    </row>
    <row r="961" spans="1:6" x14ac:dyDescent="0.35">
      <c r="A961">
        <v>2019</v>
      </c>
      <c r="B961">
        <v>111</v>
      </c>
      <c r="C961" t="s">
        <v>223</v>
      </c>
      <c r="D961" t="str" cm="1">
        <f t="array" ref="D961">_xlfn.XLOOKUP(1,
    ('team lookup'!$C$3:$C$97 = B961) * ('team lookup'!$A$3:$A$97 &lt;= A961) * (IF('team lookup'!$B$3:$B$97 = "", 9999, 'team lookup'!$B$3:$B$97) &gt;= A961),
    'team lookup'!$E$3:$E$97,
    "Other"
)</f>
        <v>Other</v>
      </c>
      <c r="E961">
        <f t="shared" si="28"/>
        <v>0</v>
      </c>
      <c r="F961">
        <f t="shared" si="29"/>
        <v>0</v>
      </c>
    </row>
    <row r="962" spans="1:6" x14ac:dyDescent="0.35">
      <c r="A962">
        <v>2019</v>
      </c>
      <c r="B962">
        <v>194</v>
      </c>
      <c r="C962" t="s">
        <v>77</v>
      </c>
      <c r="D962" t="str" cm="1">
        <f t="array" ref="D962">_xlfn.XLOOKUP(1,
    ('team lookup'!$C$3:$C$97 = B962) * ('team lookup'!$A$3:$A$97 &lt;= A962) * (IF('team lookup'!$B$3:$B$97 = "", 9999, 'team lookup'!$B$3:$B$97) &gt;= A962),
    'team lookup'!$E$3:$E$97,
    "Other"
)</f>
        <v>Big Ten</v>
      </c>
      <c r="E962">
        <f t="shared" si="28"/>
        <v>0</v>
      </c>
      <c r="F962">
        <f t="shared" si="29"/>
        <v>1</v>
      </c>
    </row>
    <row r="963" spans="1:6" x14ac:dyDescent="0.35">
      <c r="A963">
        <v>2019</v>
      </c>
      <c r="B963">
        <v>201</v>
      </c>
      <c r="C963" t="s">
        <v>121</v>
      </c>
      <c r="D963" t="str" cm="1">
        <f t="array" ref="D963">_xlfn.XLOOKUP(1,
    ('team lookup'!$C$3:$C$97 = B963) * ('team lookup'!$A$3:$A$97 &lt;= A963) * (IF('team lookup'!$B$3:$B$97 = "", 9999, 'team lookup'!$B$3:$B$97) &gt;= A963),
    'team lookup'!$E$3:$E$97,
    "Other"
)</f>
        <v>Big12</v>
      </c>
      <c r="E963">
        <f t="shared" ref="E963:E1026" si="30">IF(OR(D963="ACC", D963="SEC", D963="Big12"), 1,0)</f>
        <v>1</v>
      </c>
      <c r="F963">
        <f t="shared" ref="F963:F1026" si="31">IF(D963&lt;&gt;"Other", 1,0)</f>
        <v>1</v>
      </c>
    </row>
    <row r="964" spans="1:6" x14ac:dyDescent="0.35">
      <c r="A964">
        <v>2019</v>
      </c>
      <c r="B964">
        <v>295</v>
      </c>
      <c r="C964" t="s">
        <v>78</v>
      </c>
      <c r="D964" t="str" cm="1">
        <f t="array" ref="D964">_xlfn.XLOOKUP(1,
    ('team lookup'!$C$3:$C$97 = B964) * ('team lookup'!$A$3:$A$97 &lt;= A964) * (IF('team lookup'!$B$3:$B$97 = "", 9999, 'team lookup'!$B$3:$B$97) &gt;= A964),
    'team lookup'!$E$3:$E$97,
    "Other"
)</f>
        <v>Other</v>
      </c>
      <c r="E964">
        <f t="shared" si="30"/>
        <v>0</v>
      </c>
      <c r="F964">
        <f t="shared" si="31"/>
        <v>0</v>
      </c>
    </row>
    <row r="965" spans="1:6" x14ac:dyDescent="0.35">
      <c r="A965">
        <v>2019</v>
      </c>
      <c r="B965">
        <v>145</v>
      </c>
      <c r="C965" t="s">
        <v>213</v>
      </c>
      <c r="D965" t="str" cm="1">
        <f t="array" ref="D965">_xlfn.XLOOKUP(1,
    ('team lookup'!$C$3:$C$97 = B965) * ('team lookup'!$A$3:$A$97 &lt;= A965) * (IF('team lookup'!$B$3:$B$97 = "", 9999, 'team lookup'!$B$3:$B$97) &gt;= A965),
    'team lookup'!$E$3:$E$97,
    "Other"
)</f>
        <v>SEC</v>
      </c>
      <c r="E965">
        <f t="shared" si="30"/>
        <v>1</v>
      </c>
      <c r="F965">
        <f t="shared" si="31"/>
        <v>1</v>
      </c>
    </row>
    <row r="966" spans="1:6" x14ac:dyDescent="0.35">
      <c r="A966">
        <v>2019</v>
      </c>
      <c r="B966">
        <v>2483</v>
      </c>
      <c r="C966" t="s">
        <v>122</v>
      </c>
      <c r="D966" t="str" cm="1">
        <f t="array" ref="D966">_xlfn.XLOOKUP(1,
    ('team lookup'!$C$3:$C$97 = B966) * ('team lookup'!$A$3:$A$97 &lt;= A966) * (IF('team lookup'!$B$3:$B$97 = "", 9999, 'team lookup'!$B$3:$B$97) &gt;= A966),
    'team lookup'!$E$3:$E$97,
    "Other"
)</f>
        <v>Other</v>
      </c>
      <c r="E966">
        <f t="shared" si="30"/>
        <v>0</v>
      </c>
      <c r="F966">
        <f t="shared" si="31"/>
        <v>0</v>
      </c>
    </row>
    <row r="967" spans="1:6" x14ac:dyDescent="0.35">
      <c r="A967">
        <v>2019</v>
      </c>
      <c r="B967">
        <v>2504</v>
      </c>
      <c r="C967" t="s">
        <v>244</v>
      </c>
      <c r="D967" t="str" cm="1">
        <f t="array" ref="D967">_xlfn.XLOOKUP(1,
    ('team lookup'!$C$3:$C$97 = B967) * ('team lookup'!$A$3:$A$97 &lt;= A967) * (IF('team lookup'!$B$3:$B$97 = "", 9999, 'team lookup'!$B$3:$B$97) &gt;= A967),
    'team lookup'!$E$3:$E$97,
    "Other"
)</f>
        <v>Other</v>
      </c>
      <c r="E967">
        <f t="shared" si="30"/>
        <v>0</v>
      </c>
      <c r="F967">
        <f t="shared" si="31"/>
        <v>0</v>
      </c>
    </row>
    <row r="968" spans="1:6" x14ac:dyDescent="0.35">
      <c r="A968">
        <v>2019</v>
      </c>
      <c r="B968">
        <v>2509</v>
      </c>
      <c r="C968" t="s">
        <v>154</v>
      </c>
      <c r="D968" t="str" cm="1">
        <f t="array" ref="D968">_xlfn.XLOOKUP(1,
    ('team lookup'!$C$3:$C$97 = B968) * ('team lookup'!$A$3:$A$97 &lt;= A968) * (IF('team lookup'!$B$3:$B$97 = "", 9999, 'team lookup'!$B$3:$B$97) &gt;= A968),
    'team lookup'!$E$3:$E$97,
    "Other"
)</f>
        <v>Big Ten</v>
      </c>
      <c r="E968">
        <f t="shared" si="30"/>
        <v>0</v>
      </c>
      <c r="F968">
        <f t="shared" si="31"/>
        <v>1</v>
      </c>
    </row>
    <row r="969" spans="1:6" x14ac:dyDescent="0.35">
      <c r="A969">
        <v>2019</v>
      </c>
      <c r="B969">
        <v>139</v>
      </c>
      <c r="C969" t="s">
        <v>205</v>
      </c>
      <c r="D969" t="str" cm="1">
        <f t="array" ref="D969">_xlfn.XLOOKUP(1,
    ('team lookup'!$C$3:$C$97 = B969) * ('team lookup'!$A$3:$A$97 &lt;= A969) * (IF('team lookup'!$B$3:$B$97 = "", 9999, 'team lookup'!$B$3:$B$97) &gt;= A969),
    'team lookup'!$E$3:$E$97,
    "Other"
)</f>
        <v>Other</v>
      </c>
      <c r="E969">
        <f t="shared" si="30"/>
        <v>0</v>
      </c>
      <c r="F969">
        <f t="shared" si="31"/>
        <v>0</v>
      </c>
    </row>
    <row r="970" spans="1:6" x14ac:dyDescent="0.35">
      <c r="A970">
        <v>2019</v>
      </c>
      <c r="B970">
        <v>2608</v>
      </c>
      <c r="C970" t="s">
        <v>156</v>
      </c>
      <c r="D970" t="str" cm="1">
        <f t="array" ref="D970">_xlfn.XLOOKUP(1,
    ('team lookup'!$C$3:$C$97 = B970) * ('team lookup'!$A$3:$A$97 &lt;= A970) * (IF('team lookup'!$B$3:$B$97 = "", 9999, 'team lookup'!$B$3:$B$97) &gt;= A970),
    'team lookup'!$E$3:$E$97,
    "Other"
)</f>
        <v>Other</v>
      </c>
      <c r="E970">
        <f t="shared" si="30"/>
        <v>0</v>
      </c>
      <c r="F970">
        <f t="shared" si="31"/>
        <v>0</v>
      </c>
    </row>
    <row r="971" spans="1:6" x14ac:dyDescent="0.35">
      <c r="A971">
        <v>2019</v>
      </c>
      <c r="B971">
        <v>2550</v>
      </c>
      <c r="C971" t="s">
        <v>228</v>
      </c>
      <c r="D971" t="str" cm="1">
        <f t="array" ref="D971">_xlfn.XLOOKUP(1,
    ('team lookup'!$C$3:$C$97 = B971) * ('team lookup'!$A$3:$A$97 &lt;= A971) * (IF('team lookup'!$B$3:$B$97 = "", 9999, 'team lookup'!$B$3:$B$97) &gt;= A971),
    'team lookup'!$E$3:$E$97,
    "Other"
)</f>
        <v>Big East</v>
      </c>
      <c r="E971">
        <f t="shared" si="30"/>
        <v>0</v>
      </c>
      <c r="F971">
        <f t="shared" si="31"/>
        <v>1</v>
      </c>
    </row>
    <row r="972" spans="1:6" x14ac:dyDescent="0.35">
      <c r="A972">
        <v>2019</v>
      </c>
      <c r="B972">
        <v>2599</v>
      </c>
      <c r="C972" t="s">
        <v>200</v>
      </c>
      <c r="D972" t="str" cm="1">
        <f t="array" ref="D972">_xlfn.XLOOKUP(1,
    ('team lookup'!$C$3:$C$97 = B972) * ('team lookup'!$A$3:$A$97 &lt;= A972) * (IF('team lookup'!$B$3:$B$97 = "", 9999, 'team lookup'!$B$3:$B$97) &gt;= A972),
    'team lookup'!$E$3:$E$97,
    "Other"
)</f>
        <v>Big East</v>
      </c>
      <c r="E972">
        <f t="shared" si="30"/>
        <v>0</v>
      </c>
      <c r="F972">
        <f t="shared" si="31"/>
        <v>1</v>
      </c>
    </row>
    <row r="973" spans="1:6" x14ac:dyDescent="0.35">
      <c r="A973">
        <v>2019</v>
      </c>
      <c r="B973">
        <v>183</v>
      </c>
      <c r="C973" t="s">
        <v>183</v>
      </c>
      <c r="D973" t="str" cm="1">
        <f t="array" ref="D973">_xlfn.XLOOKUP(1,
    ('team lookup'!$C$3:$C$97 = B973) * ('team lookup'!$A$3:$A$97 &lt;= A973) * (IF('team lookup'!$B$3:$B$97 = "", 9999, 'team lookup'!$B$3:$B$97) &gt;= A973),
    'team lookup'!$E$3:$E$97,
    "Other"
)</f>
        <v>ACC</v>
      </c>
      <c r="E973">
        <f t="shared" si="30"/>
        <v>1</v>
      </c>
      <c r="F973">
        <f t="shared" si="31"/>
        <v>1</v>
      </c>
    </row>
    <row r="974" spans="1:6" x14ac:dyDescent="0.35">
      <c r="A974">
        <v>2019</v>
      </c>
      <c r="B974">
        <v>218</v>
      </c>
      <c r="C974" t="s">
        <v>161</v>
      </c>
      <c r="D974" t="str" cm="1">
        <f t="array" ref="D974">_xlfn.XLOOKUP(1,
    ('team lookup'!$C$3:$C$97 = B974) * ('team lookup'!$A$3:$A$97 &lt;= A974) * (IF('team lookup'!$B$3:$B$97 = "", 9999, 'team lookup'!$B$3:$B$97) &gt;= A974),
    'team lookup'!$E$3:$E$97,
    "Other"
)</f>
        <v>Other</v>
      </c>
      <c r="E974">
        <f t="shared" si="30"/>
        <v>0</v>
      </c>
      <c r="F974">
        <f t="shared" si="31"/>
        <v>0</v>
      </c>
    </row>
    <row r="975" spans="1:6" x14ac:dyDescent="0.35">
      <c r="A975">
        <v>2019</v>
      </c>
      <c r="B975">
        <v>2633</v>
      </c>
      <c r="C975" t="s">
        <v>162</v>
      </c>
      <c r="D975" t="str" cm="1">
        <f t="array" ref="D975">_xlfn.XLOOKUP(1,
    ('team lookup'!$C$3:$C$97 = B975) * ('team lookup'!$A$3:$A$97 &lt;= A975) * (IF('team lookup'!$B$3:$B$97 = "", 9999, 'team lookup'!$B$3:$B$97) &gt;= A975),
    'team lookup'!$E$3:$E$97,
    "Other"
)</f>
        <v>SEC</v>
      </c>
      <c r="E975">
        <f t="shared" si="30"/>
        <v>1</v>
      </c>
      <c r="F975">
        <f t="shared" si="31"/>
        <v>1</v>
      </c>
    </row>
    <row r="976" spans="1:6" x14ac:dyDescent="0.35">
      <c r="A976">
        <v>2019</v>
      </c>
      <c r="B976">
        <v>2641</v>
      </c>
      <c r="C976" t="s">
        <v>230</v>
      </c>
      <c r="D976" t="str" cm="1">
        <f t="array" ref="D976">_xlfn.XLOOKUP(1,
    ('team lookup'!$C$3:$C$97 = B976) * ('team lookup'!$A$3:$A$97 &lt;= A976) * (IF('team lookup'!$B$3:$B$97 = "", 9999, 'team lookup'!$B$3:$B$97) &gt;= A976),
    'team lookup'!$E$3:$E$97,
    "Other"
)</f>
        <v>Big12</v>
      </c>
      <c r="E976">
        <f t="shared" si="30"/>
        <v>1</v>
      </c>
      <c r="F976">
        <f t="shared" si="31"/>
        <v>1</v>
      </c>
    </row>
    <row r="977" spans="1:6" x14ac:dyDescent="0.35">
      <c r="A977">
        <v>2019</v>
      </c>
      <c r="B977">
        <v>300</v>
      </c>
      <c r="C977" t="s">
        <v>225</v>
      </c>
      <c r="D977" t="str" cm="1">
        <f t="array" ref="D977">_xlfn.XLOOKUP(1,
    ('team lookup'!$C$3:$C$97 = B977) * ('team lookup'!$A$3:$A$97 &lt;= A977) * (IF('team lookup'!$B$3:$B$97 = "", 9999, 'team lookup'!$B$3:$B$97) &gt;= A977),
    'team lookup'!$E$3:$E$97,
    "Other"
)</f>
        <v>Other</v>
      </c>
      <c r="E977">
        <f t="shared" si="30"/>
        <v>0</v>
      </c>
      <c r="F977">
        <f t="shared" si="31"/>
        <v>0</v>
      </c>
    </row>
    <row r="978" spans="1:6" x14ac:dyDescent="0.35">
      <c r="A978">
        <v>2019</v>
      </c>
      <c r="B978">
        <v>2116</v>
      </c>
      <c r="C978" t="s">
        <v>245</v>
      </c>
      <c r="D978" t="str" cm="1">
        <f t="array" ref="D978">_xlfn.XLOOKUP(1,
    ('team lookup'!$C$3:$C$97 = B978) * ('team lookup'!$A$3:$A$97 &lt;= A978) * (IF('team lookup'!$B$3:$B$97 = "", 9999, 'team lookup'!$B$3:$B$97) &gt;= A978),
    'team lookup'!$E$3:$E$97,
    "Other"
)</f>
        <v>Other</v>
      </c>
      <c r="E978">
        <f t="shared" si="30"/>
        <v>0</v>
      </c>
      <c r="F978">
        <f t="shared" si="31"/>
        <v>0</v>
      </c>
    </row>
    <row r="979" spans="1:6" x14ac:dyDescent="0.35">
      <c r="A979">
        <v>2019</v>
      </c>
      <c r="B979">
        <v>328</v>
      </c>
      <c r="C979" t="s">
        <v>185</v>
      </c>
      <c r="D979" t="str" cm="1">
        <f t="array" ref="D979">_xlfn.XLOOKUP(1,
    ('team lookup'!$C$3:$C$97 = B979) * ('team lookup'!$A$3:$A$97 &lt;= A979) * (IF('team lookup'!$B$3:$B$97 = "", 9999, 'team lookup'!$B$3:$B$97) &gt;= A979),
    'team lookup'!$E$3:$E$97,
    "Other"
)</f>
        <v>Other</v>
      </c>
      <c r="E979">
        <f t="shared" si="30"/>
        <v>0</v>
      </c>
      <c r="F979">
        <f t="shared" si="31"/>
        <v>0</v>
      </c>
    </row>
    <row r="980" spans="1:6" x14ac:dyDescent="0.35">
      <c r="A980">
        <v>2019</v>
      </c>
      <c r="B980">
        <v>2670</v>
      </c>
      <c r="C980" t="s">
        <v>186</v>
      </c>
      <c r="D980" t="str" cm="1">
        <f t="array" ref="D980">_xlfn.XLOOKUP(1,
    ('team lookup'!$C$3:$C$97 = B980) * ('team lookup'!$A$3:$A$97 &lt;= A980) * (IF('team lookup'!$B$3:$B$97 = "", 9999, 'team lookup'!$B$3:$B$97) &gt;= A980),
    'team lookup'!$E$3:$E$97,
    "Other"
)</f>
        <v>Other</v>
      </c>
      <c r="E980">
        <f t="shared" si="30"/>
        <v>0</v>
      </c>
      <c r="F980">
        <f t="shared" si="31"/>
        <v>0</v>
      </c>
    </row>
    <row r="981" spans="1:6" x14ac:dyDescent="0.35">
      <c r="A981">
        <v>2019</v>
      </c>
      <c r="B981">
        <v>261</v>
      </c>
      <c r="C981" t="s">
        <v>195</v>
      </c>
      <c r="D981" t="str" cm="1">
        <f t="array" ref="D981">_xlfn.XLOOKUP(1,
    ('team lookup'!$C$3:$C$97 = B981) * ('team lookup'!$A$3:$A$97 &lt;= A981) * (IF('team lookup'!$B$3:$B$97 = "", 9999, 'team lookup'!$B$3:$B$97) &gt;= A981),
    'team lookup'!$E$3:$E$97,
    "Other"
)</f>
        <v>Other</v>
      </c>
      <c r="E981">
        <f t="shared" si="30"/>
        <v>0</v>
      </c>
      <c r="F981">
        <f t="shared" si="31"/>
        <v>0</v>
      </c>
    </row>
    <row r="982" spans="1:6" x14ac:dyDescent="0.35">
      <c r="A982">
        <v>2019</v>
      </c>
      <c r="B982">
        <v>222</v>
      </c>
      <c r="C982" t="s">
        <v>172</v>
      </c>
      <c r="D982" t="str" cm="1">
        <f t="array" ref="D982">_xlfn.XLOOKUP(1,
    ('team lookup'!$C$3:$C$97 = B982) * ('team lookup'!$A$3:$A$97 &lt;= A982) * (IF('team lookup'!$B$3:$B$97 = "", 9999, 'team lookup'!$B$3:$B$97) &gt;= A982),
    'team lookup'!$E$3:$E$97,
    "Other"
)</f>
        <v>Big East</v>
      </c>
      <c r="E982">
        <f t="shared" si="30"/>
        <v>0</v>
      </c>
      <c r="F982">
        <f t="shared" si="31"/>
        <v>1</v>
      </c>
    </row>
    <row r="983" spans="1:6" x14ac:dyDescent="0.35">
      <c r="A983">
        <v>2019</v>
      </c>
      <c r="B983">
        <v>258</v>
      </c>
      <c r="C983" t="s">
        <v>209</v>
      </c>
      <c r="D983" t="str" cm="1">
        <f t="array" ref="D983">_xlfn.XLOOKUP(1,
    ('team lookup'!$C$3:$C$97 = B983) * ('team lookup'!$A$3:$A$97 &lt;= A983) * (IF('team lookup'!$B$3:$B$97 = "", 9999, 'team lookup'!$B$3:$B$97) &gt;= A983),
    'team lookup'!$E$3:$E$97,
    "Other"
)</f>
        <v>ACC</v>
      </c>
      <c r="E983">
        <f t="shared" si="30"/>
        <v>1</v>
      </c>
      <c r="F983">
        <f t="shared" si="31"/>
        <v>1</v>
      </c>
    </row>
    <row r="984" spans="1:6" x14ac:dyDescent="0.35">
      <c r="A984">
        <v>2019</v>
      </c>
      <c r="B984">
        <v>259</v>
      </c>
      <c r="C984" t="s">
        <v>239</v>
      </c>
      <c r="D984" t="str" cm="1">
        <f t="array" ref="D984">_xlfn.XLOOKUP(1,
    ('team lookup'!$C$3:$C$97 = B984) * ('team lookup'!$A$3:$A$97 &lt;= A984) * (IF('team lookup'!$B$3:$B$97 = "", 9999, 'team lookup'!$B$3:$B$97) &gt;= A984),
    'team lookup'!$E$3:$E$97,
    "Other"
)</f>
        <v>ACC</v>
      </c>
      <c r="E984">
        <f t="shared" si="30"/>
        <v>1</v>
      </c>
      <c r="F984">
        <f t="shared" si="31"/>
        <v>1</v>
      </c>
    </row>
    <row r="985" spans="1:6" x14ac:dyDescent="0.35">
      <c r="A985">
        <v>2019</v>
      </c>
      <c r="B985">
        <v>264</v>
      </c>
      <c r="C985" t="s">
        <v>188</v>
      </c>
      <c r="D985" t="str" cm="1">
        <f t="array" ref="D985">_xlfn.XLOOKUP(1,
    ('team lookup'!$C$3:$C$97 = B985) * ('team lookup'!$A$3:$A$97 &lt;= A985) * (IF('team lookup'!$B$3:$B$97 = "", 9999, 'team lookup'!$B$3:$B$97) &gt;= A985),
    'team lookup'!$E$3:$E$97,
    "Other"
)</f>
        <v>Other</v>
      </c>
      <c r="E985">
        <f t="shared" si="30"/>
        <v>0</v>
      </c>
      <c r="F985">
        <f t="shared" si="31"/>
        <v>0</v>
      </c>
    </row>
    <row r="986" spans="1:6" x14ac:dyDescent="0.35">
      <c r="A986">
        <v>2019</v>
      </c>
      <c r="B986">
        <v>275</v>
      </c>
      <c r="C986" t="s">
        <v>177</v>
      </c>
      <c r="D986" t="str" cm="1">
        <f t="array" ref="D986">_xlfn.XLOOKUP(1,
    ('team lookup'!$C$3:$C$97 = B986) * ('team lookup'!$A$3:$A$97 &lt;= A986) * (IF('team lookup'!$B$3:$B$97 = "", 9999, 'team lookup'!$B$3:$B$97) &gt;= A986),
    'team lookup'!$E$3:$E$97,
    "Other"
)</f>
        <v>Big Ten</v>
      </c>
      <c r="E986">
        <f t="shared" si="30"/>
        <v>0</v>
      </c>
      <c r="F986">
        <f t="shared" si="31"/>
        <v>1</v>
      </c>
    </row>
    <row r="987" spans="1:6" x14ac:dyDescent="0.35">
      <c r="A987">
        <v>2019</v>
      </c>
      <c r="B987">
        <v>2747</v>
      </c>
      <c r="C987" t="s">
        <v>196</v>
      </c>
      <c r="D987" t="str" cm="1">
        <f t="array" ref="D987">_xlfn.XLOOKUP(1,
    ('team lookup'!$C$3:$C$97 = B987) * ('team lookup'!$A$3:$A$97 &lt;= A987) * (IF('team lookup'!$B$3:$B$97 = "", 9999, 'team lookup'!$B$3:$B$97) &gt;= A987),
    'team lookup'!$E$3:$E$97,
    "Other"
)</f>
        <v>Other</v>
      </c>
      <c r="E987">
        <f t="shared" si="30"/>
        <v>0</v>
      </c>
      <c r="F987">
        <f t="shared" si="31"/>
        <v>0</v>
      </c>
    </row>
    <row r="988" spans="1:6" x14ac:dyDescent="0.35">
      <c r="A988">
        <v>2019</v>
      </c>
      <c r="B988">
        <v>43</v>
      </c>
      <c r="C988" t="s">
        <v>232</v>
      </c>
      <c r="D988" t="str" cm="1">
        <f t="array" ref="D988">_xlfn.XLOOKUP(1,
    ('team lookup'!$C$3:$C$97 = B988) * ('team lookup'!$A$3:$A$97 &lt;= A988) * (IF('team lookup'!$B$3:$B$97 = "", 9999, 'team lookup'!$B$3:$B$97) &gt;= A988),
    'team lookup'!$E$3:$E$97,
    "Other"
)</f>
        <v>Other</v>
      </c>
      <c r="E988">
        <f t="shared" si="30"/>
        <v>0</v>
      </c>
      <c r="F988">
        <f t="shared" si="31"/>
        <v>0</v>
      </c>
    </row>
    <row r="989" spans="1:6" x14ac:dyDescent="0.35">
      <c r="A989">
        <v>2021</v>
      </c>
      <c r="B989">
        <v>153</v>
      </c>
      <c r="C989" t="s">
        <v>35</v>
      </c>
      <c r="D989" t="str" cm="1">
        <f t="array" ref="D989">_xlfn.XLOOKUP(1,
    ('team lookup'!$C$3:$C$97 = B989) * ('team lookup'!$A$3:$A$97 &lt;= A989) * (IF('team lookup'!$B$3:$B$97 = "", 9999, 'team lookup'!$B$3:$B$97) &gt;= A989),
    'team lookup'!$E$3:$E$97,
    "Other"
)</f>
        <v>ACC</v>
      </c>
      <c r="E989">
        <f t="shared" si="30"/>
        <v>1</v>
      </c>
      <c r="F989">
        <f t="shared" si="31"/>
        <v>1</v>
      </c>
    </row>
    <row r="990" spans="1:6" x14ac:dyDescent="0.35">
      <c r="A990">
        <v>2021</v>
      </c>
      <c r="B990">
        <v>249</v>
      </c>
      <c r="C990" t="s">
        <v>66</v>
      </c>
      <c r="D990" t="str" cm="1">
        <f t="array" ref="D990">_xlfn.XLOOKUP(1,
    ('team lookup'!$C$3:$C$97 = B990) * ('team lookup'!$A$3:$A$97 &lt;= A990) * (IF('team lookup'!$B$3:$B$97 = "", 9999, 'team lookup'!$B$3:$B$97) &gt;= A990),
    'team lookup'!$E$3:$E$97,
    "Other"
)</f>
        <v>Other</v>
      </c>
      <c r="E990">
        <f t="shared" si="30"/>
        <v>0</v>
      </c>
      <c r="F990">
        <f t="shared" si="31"/>
        <v>0</v>
      </c>
    </row>
    <row r="991" spans="1:6" x14ac:dyDescent="0.35">
      <c r="A991">
        <v>2021</v>
      </c>
      <c r="B991">
        <v>195</v>
      </c>
      <c r="C991" t="s">
        <v>189</v>
      </c>
      <c r="D991" t="str" cm="1">
        <f t="array" ref="D991">_xlfn.XLOOKUP(1,
    ('team lookup'!$C$3:$C$97 = B991) * ('team lookup'!$A$3:$A$97 &lt;= A991) * (IF('team lookup'!$B$3:$B$97 = "", 9999, 'team lookup'!$B$3:$B$97) &gt;= A991),
    'team lookup'!$E$3:$E$97,
    "Other"
)</f>
        <v>Other</v>
      </c>
      <c r="E991">
        <f t="shared" si="30"/>
        <v>0</v>
      </c>
      <c r="F991">
        <f t="shared" si="31"/>
        <v>0</v>
      </c>
    </row>
    <row r="992" spans="1:6" x14ac:dyDescent="0.35">
      <c r="A992">
        <v>2021</v>
      </c>
      <c r="B992">
        <v>194</v>
      </c>
      <c r="C992" t="s">
        <v>77</v>
      </c>
      <c r="D992" t="str" cm="1">
        <f t="array" ref="D992">_xlfn.XLOOKUP(1,
    ('team lookup'!$C$3:$C$97 = B992) * ('team lookup'!$A$3:$A$97 &lt;= A992) * (IF('team lookup'!$B$3:$B$97 = "", 9999, 'team lookup'!$B$3:$B$97) &gt;= A992),
    'team lookup'!$E$3:$E$97,
    "Other"
)</f>
        <v>Big Ten</v>
      </c>
      <c r="E992">
        <f t="shared" si="30"/>
        <v>0</v>
      </c>
      <c r="F992">
        <f t="shared" si="31"/>
        <v>1</v>
      </c>
    </row>
    <row r="993" spans="1:6" x14ac:dyDescent="0.35">
      <c r="A993">
        <v>2021</v>
      </c>
      <c r="B993">
        <v>201</v>
      </c>
      <c r="C993" t="s">
        <v>121</v>
      </c>
      <c r="D993" t="str" cm="1">
        <f t="array" ref="D993">_xlfn.XLOOKUP(1,
    ('team lookup'!$C$3:$C$97 = B993) * ('team lookup'!$A$3:$A$97 &lt;= A993) * (IF('team lookup'!$B$3:$B$97 = "", 9999, 'team lookup'!$B$3:$B$97) &gt;= A993),
    'team lookup'!$E$3:$E$97,
    "Other"
)</f>
        <v>Big12</v>
      </c>
      <c r="E993">
        <f t="shared" si="30"/>
        <v>1</v>
      </c>
      <c r="F993">
        <f t="shared" si="31"/>
        <v>1</v>
      </c>
    </row>
    <row r="994" spans="1:6" x14ac:dyDescent="0.35">
      <c r="A994">
        <v>2021</v>
      </c>
      <c r="B994">
        <v>197</v>
      </c>
      <c r="C994" t="s">
        <v>179</v>
      </c>
      <c r="D994" t="str" cm="1">
        <f t="array" ref="D994">_xlfn.XLOOKUP(1,
    ('team lookup'!$C$3:$C$97 = B994) * ('team lookup'!$A$3:$A$97 &lt;= A994) * (IF('team lookup'!$B$3:$B$97 = "", 9999, 'team lookup'!$B$3:$B$97) &gt;= A994),
    'team lookup'!$E$3:$E$97,
    "Other"
)</f>
        <v>Big12</v>
      </c>
      <c r="E994">
        <f t="shared" si="30"/>
        <v>1</v>
      </c>
      <c r="F994">
        <f t="shared" si="31"/>
        <v>1</v>
      </c>
    </row>
    <row r="995" spans="1:6" x14ac:dyDescent="0.35">
      <c r="A995">
        <v>2021</v>
      </c>
      <c r="B995">
        <v>198</v>
      </c>
      <c r="C995" t="s">
        <v>151</v>
      </c>
      <c r="D995" t="str" cm="1">
        <f t="array" ref="D995">_xlfn.XLOOKUP(1,
    ('team lookup'!$C$3:$C$97 = B995) * ('team lookup'!$A$3:$A$97 &lt;= A995) * (IF('team lookup'!$B$3:$B$97 = "", 9999, 'team lookup'!$B$3:$B$97) &gt;= A995),
    'team lookup'!$E$3:$E$97,
    "Other"
)</f>
        <v>Other</v>
      </c>
      <c r="E995">
        <f t="shared" si="30"/>
        <v>0</v>
      </c>
      <c r="F995">
        <f t="shared" si="31"/>
        <v>0</v>
      </c>
    </row>
    <row r="996" spans="1:6" x14ac:dyDescent="0.35">
      <c r="A996">
        <v>2021</v>
      </c>
      <c r="B996">
        <v>2483</v>
      </c>
      <c r="C996" t="s">
        <v>122</v>
      </c>
      <c r="D996" t="str" cm="1">
        <f t="array" ref="D996">_xlfn.XLOOKUP(1,
    ('team lookup'!$C$3:$C$97 = B996) * ('team lookup'!$A$3:$A$97 &lt;= A996) * (IF('team lookup'!$B$3:$B$97 = "", 9999, 'team lookup'!$B$3:$B$97) &gt;= A996),
    'team lookup'!$E$3:$E$97,
    "Other"
)</f>
        <v>Other</v>
      </c>
      <c r="E996">
        <f t="shared" si="30"/>
        <v>0</v>
      </c>
      <c r="F996">
        <f t="shared" si="31"/>
        <v>0</v>
      </c>
    </row>
    <row r="997" spans="1:6" x14ac:dyDescent="0.35">
      <c r="A997">
        <v>2021</v>
      </c>
      <c r="B997">
        <v>204</v>
      </c>
      <c r="C997" t="s">
        <v>227</v>
      </c>
      <c r="D997" t="str" cm="1">
        <f t="array" ref="D997">_xlfn.XLOOKUP(1,
    ('team lookup'!$C$3:$C$97 = B997) * ('team lookup'!$A$3:$A$97 &lt;= A997) * (IF('team lookup'!$B$3:$B$97 = "", 9999, 'team lookup'!$B$3:$B$97) &gt;= A997),
    'team lookup'!$E$3:$E$97,
    "Other"
)</f>
        <v>Other</v>
      </c>
      <c r="E997">
        <f t="shared" si="30"/>
        <v>0</v>
      </c>
      <c r="F997">
        <f t="shared" si="31"/>
        <v>0</v>
      </c>
    </row>
    <row r="998" spans="1:6" x14ac:dyDescent="0.35">
      <c r="A998">
        <v>2021</v>
      </c>
      <c r="B998">
        <v>2509</v>
      </c>
      <c r="C998" t="s">
        <v>154</v>
      </c>
      <c r="D998" t="str" cm="1">
        <f t="array" ref="D998">_xlfn.XLOOKUP(1,
    ('team lookup'!$C$3:$C$97 = B998) * ('team lookup'!$A$3:$A$97 &lt;= A998) * (IF('team lookup'!$B$3:$B$97 = "", 9999, 'team lookup'!$B$3:$B$97) &gt;= A998),
    'team lookup'!$E$3:$E$97,
    "Other"
)</f>
        <v>Big Ten</v>
      </c>
      <c r="E998">
        <f t="shared" si="30"/>
        <v>0</v>
      </c>
      <c r="F998">
        <f t="shared" si="31"/>
        <v>1</v>
      </c>
    </row>
    <row r="999" spans="1:6" x14ac:dyDescent="0.35">
      <c r="A999">
        <v>2021</v>
      </c>
      <c r="B999">
        <v>164</v>
      </c>
      <c r="C999" t="s">
        <v>246</v>
      </c>
      <c r="D999" t="str" cm="1">
        <f t="array" ref="D999">_xlfn.XLOOKUP(1,
    ('team lookup'!$C$3:$C$97 = B999) * ('team lookup'!$A$3:$A$97 &lt;= A999) * (IF('team lookup'!$B$3:$B$97 = "", 9999, 'team lookup'!$B$3:$B$97) &gt;= A999),
    'team lookup'!$E$3:$E$97,
    "Other"
)</f>
        <v>Big Ten</v>
      </c>
      <c r="E999">
        <f t="shared" si="30"/>
        <v>0</v>
      </c>
      <c r="F999">
        <f t="shared" si="31"/>
        <v>1</v>
      </c>
    </row>
    <row r="1000" spans="1:6" x14ac:dyDescent="0.35">
      <c r="A1000">
        <v>2021</v>
      </c>
      <c r="B1000">
        <v>21</v>
      </c>
      <c r="C1000" t="s">
        <v>192</v>
      </c>
      <c r="D1000" t="str" cm="1">
        <f t="array" ref="D1000">_xlfn.XLOOKUP(1,
    ('team lookup'!$C$3:$C$97 = B1000) * ('team lookup'!$A$3:$A$97 &lt;= A1000) * (IF('team lookup'!$B$3:$B$97 = "", 9999, 'team lookup'!$B$3:$B$97) &gt;= A1000),
    'team lookup'!$E$3:$E$97,
    "Other"
)</f>
        <v>Other</v>
      </c>
      <c r="E1000">
        <f t="shared" si="30"/>
        <v>0</v>
      </c>
      <c r="F1000">
        <f t="shared" si="31"/>
        <v>0</v>
      </c>
    </row>
    <row r="1001" spans="1:6" x14ac:dyDescent="0.35">
      <c r="A1001">
        <v>2021</v>
      </c>
      <c r="B1001">
        <v>179</v>
      </c>
      <c r="C1001" t="s">
        <v>208</v>
      </c>
      <c r="D1001" t="str" cm="1">
        <f t="array" ref="D1001">_xlfn.XLOOKUP(1,
    ('team lookup'!$C$3:$C$97 = B1001) * ('team lookup'!$A$3:$A$97 &lt;= A1001) * (IF('team lookup'!$B$3:$B$97 = "", 9999, 'team lookup'!$B$3:$B$97) &gt;= A1001),
    'team lookup'!$E$3:$E$97,
    "Other"
)</f>
        <v>Other</v>
      </c>
      <c r="E1001">
        <f t="shared" si="30"/>
        <v>0</v>
      </c>
      <c r="F1001">
        <f t="shared" si="31"/>
        <v>0</v>
      </c>
    </row>
    <row r="1002" spans="1:6" x14ac:dyDescent="0.35">
      <c r="A1002">
        <v>2021</v>
      </c>
      <c r="B1002">
        <v>183</v>
      </c>
      <c r="C1002" t="s">
        <v>183</v>
      </c>
      <c r="D1002" t="str" cm="1">
        <f t="array" ref="D1002">_xlfn.XLOOKUP(1,
    ('team lookup'!$C$3:$C$97 = B1002) * ('team lookup'!$A$3:$A$97 &lt;= A1002) * (IF('team lookup'!$B$3:$B$97 = "", 9999, 'team lookup'!$B$3:$B$97) &gt;= A1002),
    'team lookup'!$E$3:$E$97,
    "Other"
)</f>
        <v>ACC</v>
      </c>
      <c r="E1002">
        <f t="shared" si="30"/>
        <v>1</v>
      </c>
      <c r="F1002">
        <f t="shared" si="31"/>
        <v>1</v>
      </c>
    </row>
    <row r="1003" spans="1:6" x14ac:dyDescent="0.35">
      <c r="A1003">
        <v>2021</v>
      </c>
      <c r="B1003">
        <v>2633</v>
      </c>
      <c r="C1003" t="s">
        <v>162</v>
      </c>
      <c r="D1003" t="str" cm="1">
        <f t="array" ref="D1003">_xlfn.XLOOKUP(1,
    ('team lookup'!$C$3:$C$97 = B1003) * ('team lookup'!$A$3:$A$97 &lt;= A1003) * (IF('team lookup'!$B$3:$B$97 = "", 9999, 'team lookup'!$B$3:$B$97) &gt;= A1003),
    'team lookup'!$E$3:$E$97,
    "Other"
)</f>
        <v>SEC</v>
      </c>
      <c r="E1003">
        <f t="shared" si="30"/>
        <v>1</v>
      </c>
      <c r="F1003">
        <f t="shared" si="31"/>
        <v>1</v>
      </c>
    </row>
    <row r="1004" spans="1:6" x14ac:dyDescent="0.35">
      <c r="A1004">
        <v>2021</v>
      </c>
      <c r="B1004">
        <v>251</v>
      </c>
      <c r="C1004" t="s">
        <v>163</v>
      </c>
      <c r="D1004" t="str" cm="1">
        <f t="array" ref="D1004">_xlfn.XLOOKUP(1,
    ('team lookup'!$C$3:$C$97 = B1004) * ('team lookup'!$A$3:$A$97 &lt;= A1004) * (IF('team lookup'!$B$3:$B$97 = "", 9999, 'team lookup'!$B$3:$B$97) &gt;= A1004),
    'team lookup'!$E$3:$E$97,
    "Other"
)</f>
        <v>Big12</v>
      </c>
      <c r="E1004">
        <f t="shared" si="30"/>
        <v>1</v>
      </c>
      <c r="F1004">
        <f t="shared" si="31"/>
        <v>1</v>
      </c>
    </row>
    <row r="1005" spans="1:6" x14ac:dyDescent="0.35">
      <c r="A1005">
        <v>2021</v>
      </c>
      <c r="B1005">
        <v>2640</v>
      </c>
      <c r="C1005" t="s">
        <v>218</v>
      </c>
      <c r="D1005" t="str" cm="1">
        <f t="array" ref="D1005">_xlfn.XLOOKUP(1,
    ('team lookup'!$C$3:$C$97 = B1005) * ('team lookup'!$A$3:$A$97 &lt;= A1005) * (IF('team lookup'!$B$3:$B$97 = "", 9999, 'team lookup'!$B$3:$B$97) &gt;= A1005),
    'team lookup'!$E$3:$E$97,
    "Other"
)</f>
        <v>Other</v>
      </c>
      <c r="E1005">
        <f t="shared" si="30"/>
        <v>0</v>
      </c>
      <c r="F1005">
        <f t="shared" si="31"/>
        <v>0</v>
      </c>
    </row>
    <row r="1006" spans="1:6" x14ac:dyDescent="0.35">
      <c r="A1006">
        <v>2021</v>
      </c>
      <c r="B1006">
        <v>2641</v>
      </c>
      <c r="C1006" t="s">
        <v>230</v>
      </c>
      <c r="D1006" t="str" cm="1">
        <f t="array" ref="D1006">_xlfn.XLOOKUP(1,
    ('team lookup'!$C$3:$C$97 = B1006) * ('team lookup'!$A$3:$A$97 &lt;= A1006) * (IF('team lookup'!$B$3:$B$97 = "", 9999, 'team lookup'!$B$3:$B$97) &gt;= A1006),
    'team lookup'!$E$3:$E$97,
    "Other"
)</f>
        <v>Big12</v>
      </c>
      <c r="E1006">
        <f t="shared" si="30"/>
        <v>1</v>
      </c>
      <c r="F1006">
        <f t="shared" si="31"/>
        <v>1</v>
      </c>
    </row>
    <row r="1007" spans="1:6" x14ac:dyDescent="0.35">
      <c r="A1007">
        <v>2021</v>
      </c>
      <c r="B1007">
        <v>26</v>
      </c>
      <c r="C1007" t="s">
        <v>165</v>
      </c>
      <c r="D1007" t="str" cm="1">
        <f t="array" ref="D1007">_xlfn.XLOOKUP(1,
    ('team lookup'!$C$3:$C$97 = B1007) * ('team lookup'!$A$3:$A$97 &lt;= A1007) * (IF('team lookup'!$B$3:$B$97 = "", 9999, 'team lookup'!$B$3:$B$97) &gt;= A1007),
    'team lookup'!$E$3:$E$97,
    "Other"
)</f>
        <v>Other</v>
      </c>
      <c r="E1007">
        <f t="shared" si="30"/>
        <v>0</v>
      </c>
      <c r="F1007">
        <f t="shared" si="31"/>
        <v>0</v>
      </c>
    </row>
    <row r="1008" spans="1:6" x14ac:dyDescent="0.35">
      <c r="A1008">
        <v>2021</v>
      </c>
      <c r="B1008">
        <v>41</v>
      </c>
      <c r="C1008" t="s">
        <v>166</v>
      </c>
      <c r="D1008" t="str" cm="1">
        <f t="array" ref="D1008">_xlfn.XLOOKUP(1,
    ('team lookup'!$C$3:$C$97 = B1008) * ('team lookup'!$A$3:$A$97 &lt;= A1008) * (IF('team lookup'!$B$3:$B$97 = "", 9999, 'team lookup'!$B$3:$B$97) &gt;= A1008),
    'team lookup'!$E$3:$E$97,
    "Other"
)</f>
        <v>Big East</v>
      </c>
      <c r="E1008">
        <f t="shared" si="30"/>
        <v>0</v>
      </c>
      <c r="F1008">
        <f t="shared" si="31"/>
        <v>1</v>
      </c>
    </row>
    <row r="1009" spans="1:6" x14ac:dyDescent="0.35">
      <c r="A1009">
        <v>2021</v>
      </c>
      <c r="B1009">
        <v>2540</v>
      </c>
      <c r="C1009" t="s">
        <v>193</v>
      </c>
      <c r="D1009" t="str" cm="1">
        <f t="array" ref="D1009">_xlfn.XLOOKUP(1,
    ('team lookup'!$C$3:$C$97 = B1009) * ('team lookup'!$A$3:$A$97 &lt;= A1009) * (IF('team lookup'!$B$3:$B$97 = "", 9999, 'team lookup'!$B$3:$B$97) &gt;= A1009),
    'team lookup'!$E$3:$E$97,
    "Other"
)</f>
        <v>Other</v>
      </c>
      <c r="E1009">
        <f t="shared" si="30"/>
        <v>0</v>
      </c>
      <c r="F1009">
        <f t="shared" si="31"/>
        <v>0</v>
      </c>
    </row>
    <row r="1010" spans="1:6" x14ac:dyDescent="0.35">
      <c r="A1010">
        <v>2021</v>
      </c>
      <c r="B1010">
        <v>2430</v>
      </c>
      <c r="C1010" t="s">
        <v>242</v>
      </c>
      <c r="D1010" t="str" cm="1">
        <f t="array" ref="D1010">_xlfn.XLOOKUP(1,
    ('team lookup'!$C$3:$C$97 = B1010) * ('team lookup'!$A$3:$A$97 &lt;= A1010) * (IF('team lookup'!$B$3:$B$97 = "", 9999, 'team lookup'!$B$3:$B$97) &gt;= A1010),
    'team lookup'!$E$3:$E$97,
    "Other"
)</f>
        <v>Other</v>
      </c>
      <c r="E1010">
        <f t="shared" si="30"/>
        <v>0</v>
      </c>
      <c r="F1010">
        <f t="shared" si="31"/>
        <v>0</v>
      </c>
    </row>
    <row r="1011" spans="1:6" x14ac:dyDescent="0.35">
      <c r="A1011">
        <v>2021</v>
      </c>
      <c r="B1011">
        <v>30</v>
      </c>
      <c r="C1011" t="s">
        <v>169</v>
      </c>
      <c r="D1011" t="str" cm="1">
        <f t="array" ref="D1011">_xlfn.XLOOKUP(1,
    ('team lookup'!$C$3:$C$97 = B1011) * ('team lookup'!$A$3:$A$97 &lt;= A1011) * (IF('team lookup'!$B$3:$B$97 = "", 9999, 'team lookup'!$B$3:$B$97) &gt;= A1011),
    'team lookup'!$E$3:$E$97,
    "Other"
)</f>
        <v>Other</v>
      </c>
      <c r="E1011">
        <f t="shared" si="30"/>
        <v>0</v>
      </c>
      <c r="F1011">
        <f t="shared" si="31"/>
        <v>0</v>
      </c>
    </row>
    <row r="1012" spans="1:6" x14ac:dyDescent="0.35">
      <c r="A1012">
        <v>2021</v>
      </c>
      <c r="B1012">
        <v>328</v>
      </c>
      <c r="C1012" t="s">
        <v>185</v>
      </c>
      <c r="D1012" t="str" cm="1">
        <f t="array" ref="D1012">_xlfn.XLOOKUP(1,
    ('team lookup'!$C$3:$C$97 = B1012) * ('team lookup'!$A$3:$A$97 &lt;= A1012) * (IF('team lookup'!$B$3:$B$97 = "", 9999, 'team lookup'!$B$3:$B$97) &gt;= A1012),
    'team lookup'!$E$3:$E$97,
    "Other"
)</f>
        <v>Other</v>
      </c>
      <c r="E1012">
        <f t="shared" si="30"/>
        <v>0</v>
      </c>
      <c r="F1012">
        <f t="shared" si="31"/>
        <v>0</v>
      </c>
    </row>
    <row r="1013" spans="1:6" x14ac:dyDescent="0.35">
      <c r="A1013">
        <v>2021</v>
      </c>
      <c r="B1013">
        <v>222</v>
      </c>
      <c r="C1013" t="s">
        <v>172</v>
      </c>
      <c r="D1013" t="str" cm="1">
        <f t="array" ref="D1013">_xlfn.XLOOKUP(1,
    ('team lookup'!$C$3:$C$97 = B1013) * ('team lookup'!$A$3:$A$97 &lt;= A1013) * (IF('team lookup'!$B$3:$B$97 = "", 9999, 'team lookup'!$B$3:$B$97) &gt;= A1013),
    'team lookup'!$E$3:$E$97,
    "Other"
)</f>
        <v>Big East</v>
      </c>
      <c r="E1013">
        <f t="shared" si="30"/>
        <v>0</v>
      </c>
      <c r="F1013">
        <f t="shared" si="31"/>
        <v>1</v>
      </c>
    </row>
    <row r="1014" spans="1:6" x14ac:dyDescent="0.35">
      <c r="A1014">
        <v>2021</v>
      </c>
      <c r="B1014">
        <v>258</v>
      </c>
      <c r="C1014" t="s">
        <v>209</v>
      </c>
      <c r="D1014" t="str" cm="1">
        <f t="array" ref="D1014">_xlfn.XLOOKUP(1,
    ('team lookup'!$C$3:$C$97 = B1014) * ('team lookup'!$A$3:$A$97 &lt;= A1014) * (IF('team lookup'!$B$3:$B$97 = "", 9999, 'team lookup'!$B$3:$B$97) &gt;= A1014),
    'team lookup'!$E$3:$E$97,
    "Other"
)</f>
        <v>ACC</v>
      </c>
      <c r="E1014">
        <f t="shared" si="30"/>
        <v>1</v>
      </c>
      <c r="F1014">
        <f t="shared" si="31"/>
        <v>1</v>
      </c>
    </row>
    <row r="1015" spans="1:6" x14ac:dyDescent="0.35">
      <c r="A1015">
        <v>2021</v>
      </c>
      <c r="B1015">
        <v>259</v>
      </c>
      <c r="C1015" t="s">
        <v>239</v>
      </c>
      <c r="D1015" t="str" cm="1">
        <f t="array" ref="D1015">_xlfn.XLOOKUP(1,
    ('team lookup'!$C$3:$C$97 = B1015) * ('team lookup'!$A$3:$A$97 &lt;= A1015) * (IF('team lookup'!$B$3:$B$97 = "", 9999, 'team lookup'!$B$3:$B$97) &gt;= A1015),
    'team lookup'!$E$3:$E$97,
    "Other"
)</f>
        <v>ACC</v>
      </c>
      <c r="E1015">
        <f t="shared" si="30"/>
        <v>1</v>
      </c>
      <c r="F1015">
        <f t="shared" si="31"/>
        <v>1</v>
      </c>
    </row>
    <row r="1016" spans="1:6" x14ac:dyDescent="0.35">
      <c r="A1016">
        <v>2021</v>
      </c>
      <c r="B1016">
        <v>277</v>
      </c>
      <c r="C1016" t="s">
        <v>174</v>
      </c>
      <c r="D1016" t="str" cm="1">
        <f t="array" ref="D1016">_xlfn.XLOOKUP(1,
    ('team lookup'!$C$3:$C$97 = B1016) * ('team lookup'!$A$3:$A$97 &lt;= A1016) * (IF('team lookup'!$B$3:$B$97 = "", 9999, 'team lookup'!$B$3:$B$97) &gt;= A1016),
    'team lookup'!$E$3:$E$97,
    "Other"
)</f>
        <v>Big12</v>
      </c>
      <c r="E1016">
        <f t="shared" si="30"/>
        <v>1</v>
      </c>
      <c r="F1016">
        <f t="shared" si="31"/>
        <v>1</v>
      </c>
    </row>
    <row r="1017" spans="1:6" x14ac:dyDescent="0.35">
      <c r="A1017">
        <v>2021</v>
      </c>
      <c r="B1017">
        <v>2724</v>
      </c>
      <c r="C1017" t="s">
        <v>210</v>
      </c>
      <c r="D1017" t="str" cm="1">
        <f t="array" ref="D1017">_xlfn.XLOOKUP(1,
    ('team lookup'!$C$3:$C$97 = B1017) * ('team lookup'!$A$3:$A$97 &lt;= A1017) * (IF('team lookup'!$B$3:$B$97 = "", 9999, 'team lookup'!$B$3:$B$97) &gt;= A1017),
    'team lookup'!$E$3:$E$97,
    "Other"
)</f>
        <v>Other</v>
      </c>
      <c r="E1017">
        <f t="shared" si="30"/>
        <v>0</v>
      </c>
      <c r="F1017">
        <f t="shared" si="31"/>
        <v>0</v>
      </c>
    </row>
    <row r="1018" spans="1:6" x14ac:dyDescent="0.35">
      <c r="A1018">
        <v>2021</v>
      </c>
      <c r="B1018">
        <v>2737</v>
      </c>
      <c r="C1018" t="s">
        <v>176</v>
      </c>
      <c r="D1018" t="str" cm="1">
        <f t="array" ref="D1018">_xlfn.XLOOKUP(1,
    ('team lookup'!$C$3:$C$97 = B1018) * ('team lookup'!$A$3:$A$97 &lt;= A1018) * (IF('team lookup'!$B$3:$B$97 = "", 9999, 'team lookup'!$B$3:$B$97) &gt;= A1018),
    'team lookup'!$E$3:$E$97,
    "Other"
)</f>
        <v>Other</v>
      </c>
      <c r="E1018">
        <f t="shared" si="30"/>
        <v>0</v>
      </c>
      <c r="F1018">
        <f t="shared" si="31"/>
        <v>0</v>
      </c>
    </row>
    <row r="1019" spans="1:6" x14ac:dyDescent="0.35">
      <c r="A1019">
        <v>2021</v>
      </c>
      <c r="B1019">
        <v>275</v>
      </c>
      <c r="C1019" t="s">
        <v>177</v>
      </c>
      <c r="D1019" t="str" cm="1">
        <f t="array" ref="D1019">_xlfn.XLOOKUP(1,
    ('team lookup'!$C$3:$C$97 = B1019) * ('team lookup'!$A$3:$A$97 &lt;= A1019) * (IF('team lookup'!$B$3:$B$97 = "", 9999, 'team lookup'!$B$3:$B$97) &gt;= A1019),
    'team lookup'!$E$3:$E$97,
    "Other"
)</f>
        <v>Big Ten</v>
      </c>
      <c r="E1019">
        <f t="shared" si="30"/>
        <v>0</v>
      </c>
      <c r="F1019">
        <f t="shared" si="31"/>
        <v>1</v>
      </c>
    </row>
    <row r="1020" spans="1:6" x14ac:dyDescent="0.35">
      <c r="A1020">
        <v>2022</v>
      </c>
      <c r="B1020">
        <v>2450</v>
      </c>
      <c r="C1020" t="s">
        <v>139</v>
      </c>
      <c r="D1020" t="str" cm="1">
        <f t="array" ref="D1020">_xlfn.XLOOKUP(1,
    ('team lookup'!$C$3:$C$97 = B1020) * ('team lookup'!$A$3:$A$97 &lt;= A1020) * (IF('team lookup'!$B$3:$B$97 = "", 9999, 'team lookup'!$B$3:$B$97) &gt;= A1020),
    'team lookup'!$E$3:$E$97,
    "Other"
)</f>
        <v>Other</v>
      </c>
      <c r="E1020">
        <f t="shared" si="30"/>
        <v>0</v>
      </c>
      <c r="F1020">
        <f t="shared" si="31"/>
        <v>0</v>
      </c>
    </row>
    <row r="1021" spans="1:6" x14ac:dyDescent="0.35">
      <c r="A1021">
        <v>2022</v>
      </c>
      <c r="B1021">
        <v>153</v>
      </c>
      <c r="C1021" t="s">
        <v>35</v>
      </c>
      <c r="D1021" t="str" cm="1">
        <f t="array" ref="D1021">_xlfn.XLOOKUP(1,
    ('team lookup'!$C$3:$C$97 = B1021) * ('team lookup'!$A$3:$A$97 &lt;= A1021) * (IF('team lookup'!$B$3:$B$97 = "", 9999, 'team lookup'!$B$3:$B$97) &gt;= A1021),
    'team lookup'!$E$3:$E$97,
    "Other"
)</f>
        <v>ACC</v>
      </c>
      <c r="E1021">
        <f t="shared" si="30"/>
        <v>1</v>
      </c>
      <c r="F1021">
        <f t="shared" si="31"/>
        <v>1</v>
      </c>
    </row>
    <row r="1022" spans="1:6" x14ac:dyDescent="0.35">
      <c r="A1022">
        <v>2022</v>
      </c>
      <c r="B1022">
        <v>87</v>
      </c>
      <c r="C1022" t="s">
        <v>36</v>
      </c>
      <c r="D1022" t="str" cm="1">
        <f t="array" ref="D1022">_xlfn.XLOOKUP(1,
    ('team lookup'!$C$3:$C$97 = B1022) * ('team lookup'!$A$3:$A$97 &lt;= A1022) * (IF('team lookup'!$B$3:$B$97 = "", 9999, 'team lookup'!$B$3:$B$97) &gt;= A1022),
    'team lookup'!$E$3:$E$97,
    "Other"
)</f>
        <v>ACC</v>
      </c>
      <c r="E1022">
        <f t="shared" si="30"/>
        <v>1</v>
      </c>
      <c r="F1022">
        <f t="shared" si="31"/>
        <v>1</v>
      </c>
    </row>
    <row r="1023" spans="1:6" x14ac:dyDescent="0.35">
      <c r="A1023">
        <v>2022</v>
      </c>
      <c r="B1023">
        <v>194</v>
      </c>
      <c r="C1023" t="s">
        <v>77</v>
      </c>
      <c r="D1023" t="str" cm="1">
        <f t="array" ref="D1023">_xlfn.XLOOKUP(1,
    ('team lookup'!$C$3:$C$97 = B1023) * ('team lookup'!$A$3:$A$97 &lt;= A1023) * (IF('team lookup'!$B$3:$B$97 = "", 9999, 'team lookup'!$B$3:$B$97) &gt;= A1023),
    'team lookup'!$E$3:$E$97,
    "Other"
)</f>
        <v>Big Ten</v>
      </c>
      <c r="E1023">
        <f t="shared" si="30"/>
        <v>0</v>
      </c>
      <c r="F1023">
        <f t="shared" si="31"/>
        <v>1</v>
      </c>
    </row>
    <row r="1024" spans="1:6" x14ac:dyDescent="0.35">
      <c r="A1024">
        <v>2022</v>
      </c>
      <c r="B1024">
        <v>2507</v>
      </c>
      <c r="C1024" t="s">
        <v>217</v>
      </c>
      <c r="D1024" t="str" cm="1">
        <f t="array" ref="D1024">_xlfn.XLOOKUP(1,
    ('team lookup'!$C$3:$C$97 = B1024) * ('team lookup'!$A$3:$A$97 &lt;= A1024) * (IF('team lookup'!$B$3:$B$97 = "", 9999, 'team lookup'!$B$3:$B$97) &gt;= A1024),
    'team lookup'!$E$3:$E$97,
    "Other"
)</f>
        <v>Big East</v>
      </c>
      <c r="E1024">
        <f t="shared" si="30"/>
        <v>0</v>
      </c>
      <c r="F1024">
        <f t="shared" si="31"/>
        <v>1</v>
      </c>
    </row>
    <row r="1025" spans="1:6" x14ac:dyDescent="0.35">
      <c r="A1025">
        <v>2022</v>
      </c>
      <c r="B1025">
        <v>2509</v>
      </c>
      <c r="C1025" t="s">
        <v>154</v>
      </c>
      <c r="D1025" t="str" cm="1">
        <f t="array" ref="D1025">_xlfn.XLOOKUP(1,
    ('team lookup'!$C$3:$C$97 = B1025) * ('team lookup'!$A$3:$A$97 &lt;= A1025) * (IF('team lookup'!$B$3:$B$97 = "", 9999, 'team lookup'!$B$3:$B$97) &gt;= A1025),
    'team lookup'!$E$3:$E$97,
    "Other"
)</f>
        <v>Big Ten</v>
      </c>
      <c r="E1025">
        <f t="shared" si="30"/>
        <v>0</v>
      </c>
      <c r="F1025">
        <f t="shared" si="31"/>
        <v>1</v>
      </c>
    </row>
    <row r="1026" spans="1:6" x14ac:dyDescent="0.35">
      <c r="A1026">
        <v>2022</v>
      </c>
      <c r="B1026">
        <v>257</v>
      </c>
      <c r="C1026" t="s">
        <v>190</v>
      </c>
      <c r="D1026" t="str" cm="1">
        <f t="array" ref="D1026">_xlfn.XLOOKUP(1,
    ('team lookup'!$C$3:$C$97 = B1026) * ('team lookup'!$A$3:$A$97 &lt;= A1026) * (IF('team lookup'!$B$3:$B$97 = "", 9999, 'team lookup'!$B$3:$B$97) &gt;= A1026),
    'team lookup'!$E$3:$E$97,
    "Other"
)</f>
        <v>Other</v>
      </c>
      <c r="E1026">
        <f t="shared" si="30"/>
        <v>0</v>
      </c>
      <c r="F1026">
        <f t="shared" si="31"/>
        <v>0</v>
      </c>
    </row>
    <row r="1027" spans="1:6" x14ac:dyDescent="0.35">
      <c r="A1027">
        <v>2022</v>
      </c>
      <c r="B1027">
        <v>164</v>
      </c>
      <c r="C1027" t="s">
        <v>246</v>
      </c>
      <c r="D1027" t="str" cm="1">
        <f t="array" ref="D1027">_xlfn.XLOOKUP(1,
    ('team lookup'!$C$3:$C$97 = B1027) * ('team lookup'!$A$3:$A$97 &lt;= A1027) * (IF('team lookup'!$B$3:$B$97 = "", 9999, 'team lookup'!$B$3:$B$97) &gt;= A1027),
    'team lookup'!$E$3:$E$97,
    "Other"
)</f>
        <v>Big Ten</v>
      </c>
      <c r="E1027">
        <f t="shared" ref="E1027:E1090" si="32">IF(OR(D1027="ACC", D1027="SEC", D1027="Big12"), 1,0)</f>
        <v>0</v>
      </c>
      <c r="F1027">
        <f t="shared" ref="F1027:F1090" si="33">IF(D1027&lt;&gt;"Other", 1,0)</f>
        <v>1</v>
      </c>
    </row>
    <row r="1028" spans="1:6" x14ac:dyDescent="0.35">
      <c r="A1028">
        <v>2022</v>
      </c>
      <c r="B1028">
        <v>2571</v>
      </c>
      <c r="C1028" t="s">
        <v>204</v>
      </c>
      <c r="D1028" t="str" cm="1">
        <f t="array" ref="D1028">_xlfn.XLOOKUP(1,
    ('team lookup'!$C$3:$C$97 = B1028) * ('team lookup'!$A$3:$A$97 &lt;= A1028) * (IF('team lookup'!$B$3:$B$97 = "", 9999, 'team lookup'!$B$3:$B$97) &gt;= A1028),
    'team lookup'!$E$3:$E$97,
    "Other"
)</f>
        <v>Other</v>
      </c>
      <c r="E1028">
        <f t="shared" si="32"/>
        <v>0</v>
      </c>
      <c r="F1028">
        <f t="shared" si="33"/>
        <v>0</v>
      </c>
    </row>
    <row r="1029" spans="1:6" x14ac:dyDescent="0.35">
      <c r="A1029">
        <v>2022</v>
      </c>
      <c r="B1029">
        <v>2608</v>
      </c>
      <c r="C1029" t="s">
        <v>156</v>
      </c>
      <c r="D1029" t="str" cm="1">
        <f t="array" ref="D1029">_xlfn.XLOOKUP(1,
    ('team lookup'!$C$3:$C$97 = B1029) * ('team lookup'!$A$3:$A$97 &lt;= A1029) * (IF('team lookup'!$B$3:$B$97 = "", 9999, 'team lookup'!$B$3:$B$97) &gt;= A1029),
    'team lookup'!$E$3:$E$97,
    "Other"
)</f>
        <v>Other</v>
      </c>
      <c r="E1029">
        <f t="shared" si="32"/>
        <v>0</v>
      </c>
      <c r="F1029">
        <f t="shared" si="33"/>
        <v>0</v>
      </c>
    </row>
    <row r="1030" spans="1:6" x14ac:dyDescent="0.35">
      <c r="A1030">
        <v>2022</v>
      </c>
      <c r="B1030">
        <v>2612</v>
      </c>
      <c r="C1030" t="s">
        <v>199</v>
      </c>
      <c r="D1030" t="str" cm="1">
        <f t="array" ref="D1030">_xlfn.XLOOKUP(1,
    ('team lookup'!$C$3:$C$97 = B1030) * ('team lookup'!$A$3:$A$97 &lt;= A1030) * (IF('team lookup'!$B$3:$B$97 = "", 9999, 'team lookup'!$B$3:$B$97) &gt;= A1030),
    'team lookup'!$E$3:$E$97,
    "Other"
)</f>
        <v>Other</v>
      </c>
      <c r="E1030">
        <f t="shared" si="32"/>
        <v>0</v>
      </c>
      <c r="F1030">
        <f t="shared" si="33"/>
        <v>0</v>
      </c>
    </row>
    <row r="1031" spans="1:6" x14ac:dyDescent="0.35">
      <c r="A1031">
        <v>2022</v>
      </c>
      <c r="B1031">
        <v>21</v>
      </c>
      <c r="C1031" t="s">
        <v>192</v>
      </c>
      <c r="D1031" t="str" cm="1">
        <f t="array" ref="D1031">_xlfn.XLOOKUP(1,
    ('team lookup'!$C$3:$C$97 = B1031) * ('team lookup'!$A$3:$A$97 &lt;= A1031) * (IF('team lookup'!$B$3:$B$97 = "", 9999, 'team lookup'!$B$3:$B$97) &gt;= A1031),
    'team lookup'!$E$3:$E$97,
    "Other"
)</f>
        <v>Other</v>
      </c>
      <c r="E1031">
        <f t="shared" si="32"/>
        <v>0</v>
      </c>
      <c r="F1031">
        <f t="shared" si="33"/>
        <v>0</v>
      </c>
    </row>
    <row r="1032" spans="1:6" x14ac:dyDescent="0.35">
      <c r="A1032">
        <v>2022</v>
      </c>
      <c r="B1032">
        <v>2539</v>
      </c>
      <c r="C1032" t="s">
        <v>247</v>
      </c>
      <c r="D1032" t="str" cm="1">
        <f t="array" ref="D1032">_xlfn.XLOOKUP(1,
    ('team lookup'!$C$3:$C$97 = B1032) * ('team lookup'!$A$3:$A$97 &lt;= A1032) * (IF('team lookup'!$B$3:$B$97 = "", 9999, 'team lookup'!$B$3:$B$97) &gt;= A1032),
    'team lookup'!$E$3:$E$97,
    "Other"
)</f>
        <v>Other</v>
      </c>
      <c r="E1032">
        <f t="shared" si="32"/>
        <v>0</v>
      </c>
      <c r="F1032">
        <f t="shared" si="33"/>
        <v>0</v>
      </c>
    </row>
    <row r="1033" spans="1:6" x14ac:dyDescent="0.35">
      <c r="A1033">
        <v>2022</v>
      </c>
      <c r="B1033">
        <v>2550</v>
      </c>
      <c r="C1033" t="s">
        <v>228</v>
      </c>
      <c r="D1033" t="str" cm="1">
        <f t="array" ref="D1033">_xlfn.XLOOKUP(1,
    ('team lookup'!$C$3:$C$97 = B1033) * ('team lookup'!$A$3:$A$97 &lt;= A1033) * (IF('team lookup'!$B$3:$B$97 = "", 9999, 'team lookup'!$B$3:$B$97) &gt;= A1033),
    'team lookup'!$E$3:$E$97,
    "Other"
)</f>
        <v>Big East</v>
      </c>
      <c r="E1033">
        <f t="shared" si="32"/>
        <v>0</v>
      </c>
      <c r="F1033">
        <f t="shared" si="33"/>
        <v>1</v>
      </c>
    </row>
    <row r="1034" spans="1:6" x14ac:dyDescent="0.35">
      <c r="A1034">
        <v>2022</v>
      </c>
      <c r="B1034">
        <v>2628</v>
      </c>
      <c r="C1034" t="s">
        <v>241</v>
      </c>
      <c r="D1034" t="str" cm="1">
        <f t="array" ref="D1034">_xlfn.XLOOKUP(1,
    ('team lookup'!$C$3:$C$97 = B1034) * ('team lookup'!$A$3:$A$97 &lt;= A1034) * (IF('team lookup'!$B$3:$B$97 = "", 9999, 'team lookup'!$B$3:$B$97) &gt;= A1034),
    'team lookup'!$E$3:$E$97,
    "Other"
)</f>
        <v>Big12</v>
      </c>
      <c r="E1034">
        <f t="shared" si="32"/>
        <v>1</v>
      </c>
      <c r="F1034">
        <f t="shared" si="33"/>
        <v>1</v>
      </c>
    </row>
    <row r="1035" spans="1:6" x14ac:dyDescent="0.35">
      <c r="A1035">
        <v>2022</v>
      </c>
      <c r="B1035">
        <v>2633</v>
      </c>
      <c r="C1035" t="s">
        <v>162</v>
      </c>
      <c r="D1035" t="str" cm="1">
        <f t="array" ref="D1035">_xlfn.XLOOKUP(1,
    ('team lookup'!$C$3:$C$97 = B1035) * ('team lookup'!$A$3:$A$97 &lt;= A1035) * (IF('team lookup'!$B$3:$B$97 = "", 9999, 'team lookup'!$B$3:$B$97) &gt;= A1035),
    'team lookup'!$E$3:$E$97,
    "Other"
)</f>
        <v>SEC</v>
      </c>
      <c r="E1035">
        <f t="shared" si="32"/>
        <v>1</v>
      </c>
      <c r="F1035">
        <f t="shared" si="33"/>
        <v>1</v>
      </c>
    </row>
    <row r="1036" spans="1:6" x14ac:dyDescent="0.35">
      <c r="A1036">
        <v>2022</v>
      </c>
      <c r="B1036">
        <v>251</v>
      </c>
      <c r="C1036" t="s">
        <v>163</v>
      </c>
      <c r="D1036" t="str" cm="1">
        <f t="array" ref="D1036">_xlfn.XLOOKUP(1,
    ('team lookup'!$C$3:$C$97 = B1036) * ('team lookup'!$A$3:$A$97 &lt;= A1036) * (IF('team lookup'!$B$3:$B$97 = "", 9999, 'team lookup'!$B$3:$B$97) &gt;= A1036),
    'team lookup'!$E$3:$E$97,
    "Other"
)</f>
        <v>Big12</v>
      </c>
      <c r="E1036">
        <f t="shared" si="32"/>
        <v>1</v>
      </c>
      <c r="F1036">
        <f t="shared" si="33"/>
        <v>1</v>
      </c>
    </row>
    <row r="1037" spans="1:6" x14ac:dyDescent="0.35">
      <c r="A1037">
        <v>2022</v>
      </c>
      <c r="B1037">
        <v>357</v>
      </c>
      <c r="C1037" t="s">
        <v>248</v>
      </c>
      <c r="D1037" t="str" cm="1">
        <f t="array" ref="D1037">_xlfn.XLOOKUP(1,
    ('team lookup'!$C$3:$C$97 = B1037) * ('team lookup'!$A$3:$A$97 &lt;= A1037) * (IF('team lookup'!$B$3:$B$97 = "", 9999, 'team lookup'!$B$3:$B$97) &gt;= A1037),
    'team lookup'!$E$3:$E$97,
    "Other"
)</f>
        <v>Other</v>
      </c>
      <c r="E1037">
        <f t="shared" si="32"/>
        <v>0</v>
      </c>
      <c r="F1037">
        <f t="shared" si="33"/>
        <v>0</v>
      </c>
    </row>
    <row r="1038" spans="1:6" x14ac:dyDescent="0.35">
      <c r="A1038">
        <v>2022</v>
      </c>
      <c r="B1038">
        <v>2640</v>
      </c>
      <c r="C1038" t="s">
        <v>218</v>
      </c>
      <c r="D1038" t="str" cm="1">
        <f t="array" ref="D1038">_xlfn.XLOOKUP(1,
    ('team lookup'!$C$3:$C$97 = B1038) * ('team lookup'!$A$3:$A$97 &lt;= A1038) * (IF('team lookup'!$B$3:$B$97 = "", 9999, 'team lookup'!$B$3:$B$97) &gt;= A1038),
    'team lookup'!$E$3:$E$97,
    "Other"
)</f>
        <v>Other</v>
      </c>
      <c r="E1038">
        <f t="shared" si="32"/>
        <v>0</v>
      </c>
      <c r="F1038">
        <f t="shared" si="33"/>
        <v>0</v>
      </c>
    </row>
    <row r="1039" spans="1:6" x14ac:dyDescent="0.35">
      <c r="A1039">
        <v>2022</v>
      </c>
      <c r="B1039">
        <v>2641</v>
      </c>
      <c r="C1039" t="s">
        <v>230</v>
      </c>
      <c r="D1039" t="str" cm="1">
        <f t="array" ref="D1039">_xlfn.XLOOKUP(1,
    ('team lookup'!$C$3:$C$97 = B1039) * ('team lookup'!$A$3:$A$97 &lt;= A1039) * (IF('team lookup'!$B$3:$B$97 = "", 9999, 'team lookup'!$B$3:$B$97) &gt;= A1039),
    'team lookup'!$E$3:$E$97,
    "Other"
)</f>
        <v>Big12</v>
      </c>
      <c r="E1039">
        <f t="shared" si="32"/>
        <v>1</v>
      </c>
      <c r="F1039">
        <f t="shared" si="33"/>
        <v>1</v>
      </c>
    </row>
    <row r="1040" spans="1:6" x14ac:dyDescent="0.35">
      <c r="A1040">
        <v>2022</v>
      </c>
      <c r="B1040">
        <v>5</v>
      </c>
      <c r="C1040" t="s">
        <v>201</v>
      </c>
      <c r="D1040" t="str" cm="1">
        <f t="array" ref="D1040">_xlfn.XLOOKUP(1,
    ('team lookup'!$C$3:$C$97 = B1040) * ('team lookup'!$A$3:$A$97 &lt;= A1040) * (IF('team lookup'!$B$3:$B$97 = "", 9999, 'team lookup'!$B$3:$B$97) &gt;= A1040),
    'team lookup'!$E$3:$E$97,
    "Other"
)</f>
        <v>Other</v>
      </c>
      <c r="E1040">
        <f t="shared" si="32"/>
        <v>0</v>
      </c>
      <c r="F1040">
        <f t="shared" si="33"/>
        <v>0</v>
      </c>
    </row>
    <row r="1041" spans="1:6" x14ac:dyDescent="0.35">
      <c r="A1041">
        <v>2022</v>
      </c>
      <c r="B1041">
        <v>26</v>
      </c>
      <c r="C1041" t="s">
        <v>165</v>
      </c>
      <c r="D1041" t="str" cm="1">
        <f t="array" ref="D1041">_xlfn.XLOOKUP(1,
    ('team lookup'!$C$3:$C$97 = B1041) * ('team lookup'!$A$3:$A$97 &lt;= A1041) * (IF('team lookup'!$B$3:$B$97 = "", 9999, 'team lookup'!$B$3:$B$97) &gt;= A1041),
    'team lookup'!$E$3:$E$97,
    "Other"
)</f>
        <v>Other</v>
      </c>
      <c r="E1041">
        <f t="shared" si="32"/>
        <v>0</v>
      </c>
      <c r="F1041">
        <f t="shared" si="33"/>
        <v>0</v>
      </c>
    </row>
    <row r="1042" spans="1:6" x14ac:dyDescent="0.35">
      <c r="A1042">
        <v>2022</v>
      </c>
      <c r="B1042">
        <v>41</v>
      </c>
      <c r="C1042" t="s">
        <v>166</v>
      </c>
      <c r="D1042" t="str" cm="1">
        <f t="array" ref="D1042">_xlfn.XLOOKUP(1,
    ('team lookup'!$C$3:$C$97 = B1042) * ('team lookup'!$A$3:$A$97 &lt;= A1042) * (IF('team lookup'!$B$3:$B$97 = "", 9999, 'team lookup'!$B$3:$B$97) &gt;= A1042),
    'team lookup'!$E$3:$E$97,
    "Other"
)</f>
        <v>Big East</v>
      </c>
      <c r="E1042">
        <f t="shared" si="32"/>
        <v>0</v>
      </c>
      <c r="F1042">
        <f t="shared" si="33"/>
        <v>1</v>
      </c>
    </row>
    <row r="1043" spans="1:6" x14ac:dyDescent="0.35">
      <c r="A1043">
        <v>2022</v>
      </c>
      <c r="B1043">
        <v>30</v>
      </c>
      <c r="C1043" t="s">
        <v>169</v>
      </c>
      <c r="D1043" t="str" cm="1">
        <f t="array" ref="D1043">_xlfn.XLOOKUP(1,
    ('team lookup'!$C$3:$C$97 = B1043) * ('team lookup'!$A$3:$A$97 &lt;= A1043) * (IF('team lookup'!$B$3:$B$97 = "", 9999, 'team lookup'!$B$3:$B$97) &gt;= A1043),
    'team lookup'!$E$3:$E$97,
    "Other"
)</f>
        <v>Other</v>
      </c>
      <c r="E1043">
        <f t="shared" si="32"/>
        <v>0</v>
      </c>
      <c r="F1043">
        <f t="shared" si="33"/>
        <v>0</v>
      </c>
    </row>
    <row r="1044" spans="1:6" x14ac:dyDescent="0.35">
      <c r="A1044">
        <v>2022</v>
      </c>
      <c r="B1044">
        <v>261</v>
      </c>
      <c r="C1044" t="s">
        <v>195</v>
      </c>
      <c r="D1044" t="str" cm="1">
        <f t="array" ref="D1044">_xlfn.XLOOKUP(1,
    ('team lookup'!$C$3:$C$97 = B1044) * ('team lookup'!$A$3:$A$97 &lt;= A1044) * (IF('team lookup'!$B$3:$B$97 = "", 9999, 'team lookup'!$B$3:$B$97) &gt;= A1044),
    'team lookup'!$E$3:$E$97,
    "Other"
)</f>
        <v>Other</v>
      </c>
      <c r="E1044">
        <f t="shared" si="32"/>
        <v>0</v>
      </c>
      <c r="F1044">
        <f t="shared" si="33"/>
        <v>0</v>
      </c>
    </row>
    <row r="1045" spans="1:6" x14ac:dyDescent="0.35">
      <c r="A1045">
        <v>2022</v>
      </c>
      <c r="B1045">
        <v>222</v>
      </c>
      <c r="C1045" t="s">
        <v>172</v>
      </c>
      <c r="D1045" t="str" cm="1">
        <f t="array" ref="D1045">_xlfn.XLOOKUP(1,
    ('team lookup'!$C$3:$C$97 = B1045) * ('team lookup'!$A$3:$A$97 &lt;= A1045) * (IF('team lookup'!$B$3:$B$97 = "", 9999, 'team lookup'!$B$3:$B$97) &gt;= A1045),
    'team lookup'!$E$3:$E$97,
    "Other"
)</f>
        <v>Big East</v>
      </c>
      <c r="E1045">
        <f t="shared" si="32"/>
        <v>0</v>
      </c>
      <c r="F1045">
        <f t="shared" si="33"/>
        <v>1</v>
      </c>
    </row>
    <row r="1046" spans="1:6" x14ac:dyDescent="0.35">
      <c r="A1046">
        <v>2022</v>
      </c>
      <c r="B1046">
        <v>259</v>
      </c>
      <c r="C1046" t="s">
        <v>239</v>
      </c>
      <c r="D1046" t="str" cm="1">
        <f t="array" ref="D1046">_xlfn.XLOOKUP(1,
    ('team lookup'!$C$3:$C$97 = B1046) * ('team lookup'!$A$3:$A$97 &lt;= A1046) * (IF('team lookup'!$B$3:$B$97 = "", 9999, 'team lookup'!$B$3:$B$97) &gt;= A1046),
    'team lookup'!$E$3:$E$97,
    "Other"
)</f>
        <v>ACC</v>
      </c>
      <c r="E1046">
        <f t="shared" si="32"/>
        <v>1</v>
      </c>
      <c r="F1046">
        <f t="shared" si="33"/>
        <v>1</v>
      </c>
    </row>
    <row r="1047" spans="1:6" x14ac:dyDescent="0.35">
      <c r="A1047">
        <v>2022</v>
      </c>
      <c r="B1047">
        <v>275</v>
      </c>
      <c r="C1047" t="s">
        <v>177</v>
      </c>
      <c r="D1047" t="str" cm="1">
        <f t="array" ref="D1047">_xlfn.XLOOKUP(1,
    ('team lookup'!$C$3:$C$97 = B1047) * ('team lookup'!$A$3:$A$97 &lt;= A1047) * (IF('team lookup'!$B$3:$B$97 = "", 9999, 'team lookup'!$B$3:$B$97) &gt;= A1047),
    'team lookup'!$E$3:$E$97,
    "Other"
)</f>
        <v>Big Ten</v>
      </c>
      <c r="E1047">
        <f t="shared" si="32"/>
        <v>0</v>
      </c>
      <c r="F1047">
        <f t="shared" si="33"/>
        <v>1</v>
      </c>
    </row>
    <row r="1048" spans="1:6" x14ac:dyDescent="0.35">
      <c r="A1048">
        <v>2022</v>
      </c>
      <c r="B1048">
        <v>2750</v>
      </c>
      <c r="C1048" t="s">
        <v>243</v>
      </c>
      <c r="D1048" t="str" cm="1">
        <f t="array" ref="D1048">_xlfn.XLOOKUP(1,
    ('team lookup'!$C$3:$C$97 = B1048) * ('team lookup'!$A$3:$A$97 &lt;= A1048) * (IF('team lookup'!$B$3:$B$97 = "", 9999, 'team lookup'!$B$3:$B$97) &gt;= A1048),
    'team lookup'!$E$3:$E$97,
    "Other"
)</f>
        <v>Other</v>
      </c>
      <c r="E1048">
        <f t="shared" si="32"/>
        <v>0</v>
      </c>
      <c r="F1048">
        <f t="shared" si="33"/>
        <v>0</v>
      </c>
    </row>
    <row r="1049" spans="1:6" x14ac:dyDescent="0.35">
      <c r="A1049">
        <v>2022</v>
      </c>
      <c r="B1049">
        <v>2751</v>
      </c>
      <c r="C1049" t="s">
        <v>226</v>
      </c>
      <c r="D1049" t="str" cm="1">
        <f t="array" ref="D1049">_xlfn.XLOOKUP(1,
    ('team lookup'!$C$3:$C$97 = B1049) * ('team lookup'!$A$3:$A$97 &lt;= A1049) * (IF('team lookup'!$B$3:$B$97 = "", 9999, 'team lookup'!$B$3:$B$97) &gt;= A1049),
    'team lookup'!$E$3:$E$97,
    "Other"
)</f>
        <v>Other</v>
      </c>
      <c r="E1049">
        <f t="shared" si="32"/>
        <v>0</v>
      </c>
      <c r="F1049">
        <f t="shared" si="33"/>
        <v>0</v>
      </c>
    </row>
    <row r="1050" spans="1:6" x14ac:dyDescent="0.35">
      <c r="A1050">
        <v>2022</v>
      </c>
      <c r="B1050">
        <v>43</v>
      </c>
      <c r="C1050" t="s">
        <v>232</v>
      </c>
      <c r="D1050" t="str" cm="1">
        <f t="array" ref="D1050">_xlfn.XLOOKUP(1,
    ('team lookup'!$C$3:$C$97 = B1050) * ('team lookup'!$A$3:$A$97 &lt;= A1050) * (IF('team lookup'!$B$3:$B$97 = "", 9999, 'team lookup'!$B$3:$B$97) &gt;= A1050),
    'team lookup'!$E$3:$E$97,
    "Other"
)</f>
        <v>Other</v>
      </c>
      <c r="E1050">
        <f t="shared" si="32"/>
        <v>0</v>
      </c>
      <c r="F1050">
        <f t="shared" si="33"/>
        <v>0</v>
      </c>
    </row>
    <row r="1051" spans="1:6" x14ac:dyDescent="0.35">
      <c r="A1051">
        <v>2023</v>
      </c>
      <c r="B1051">
        <v>147</v>
      </c>
      <c r="C1051" t="s">
        <v>142</v>
      </c>
      <c r="D1051" t="str" cm="1">
        <f t="array" ref="D1051">_xlfn.XLOOKUP(1,
    ('team lookup'!$C$3:$C$97 = B1051) * ('team lookup'!$A$3:$A$97 &lt;= A1051) * (IF('team lookup'!$B$3:$B$97 = "", 9999, 'team lookup'!$B$3:$B$97) &gt;= A1051),
    'team lookup'!$E$3:$E$97,
    "Other"
)</f>
        <v>Other</v>
      </c>
      <c r="E1051">
        <f t="shared" si="32"/>
        <v>0</v>
      </c>
      <c r="F1051">
        <f t="shared" si="33"/>
        <v>0</v>
      </c>
    </row>
    <row r="1052" spans="1:6" x14ac:dyDescent="0.35">
      <c r="A1052">
        <v>2023</v>
      </c>
      <c r="B1052">
        <v>94</v>
      </c>
      <c r="C1052" t="s">
        <v>124</v>
      </c>
      <c r="D1052" t="str" cm="1">
        <f t="array" ref="D1052">_xlfn.XLOOKUP(1,
    ('team lookup'!$C$3:$C$97 = B1052) * ('team lookup'!$A$3:$A$97 &lt;= A1052) * (IF('team lookup'!$B$3:$B$97 = "", 9999, 'team lookup'!$B$3:$B$97) &gt;= A1052),
    'team lookup'!$E$3:$E$97,
    "Other"
)</f>
        <v>Other</v>
      </c>
      <c r="E1052">
        <f t="shared" si="32"/>
        <v>0</v>
      </c>
      <c r="F1052">
        <f t="shared" si="33"/>
        <v>0</v>
      </c>
    </row>
    <row r="1053" spans="1:6" x14ac:dyDescent="0.35">
      <c r="A1053">
        <v>2023</v>
      </c>
      <c r="B1053">
        <v>152</v>
      </c>
      <c r="C1053" t="s">
        <v>90</v>
      </c>
      <c r="D1053" t="str" cm="1">
        <f t="array" ref="D1053">_xlfn.XLOOKUP(1,
    ('team lookup'!$C$3:$C$97 = B1053) * ('team lookup'!$A$3:$A$97 &lt;= A1053) * (IF('team lookup'!$B$3:$B$97 = "", 9999, 'team lookup'!$B$3:$B$97) &gt;= A1053),
    'team lookup'!$E$3:$E$97,
    "Other"
)</f>
        <v>ACC</v>
      </c>
      <c r="E1053">
        <f t="shared" si="32"/>
        <v>1</v>
      </c>
      <c r="F1053">
        <f t="shared" si="33"/>
        <v>1</v>
      </c>
    </row>
    <row r="1054" spans="1:6" x14ac:dyDescent="0.35">
      <c r="A1054">
        <v>2023</v>
      </c>
      <c r="B1054">
        <v>2440</v>
      </c>
      <c r="C1054" t="s">
        <v>125</v>
      </c>
      <c r="D1054" t="str" cm="1">
        <f t="array" ref="D1054">_xlfn.XLOOKUP(1,
    ('team lookup'!$C$3:$C$97 = B1054) * ('team lookup'!$A$3:$A$97 &lt;= A1054) * (IF('team lookup'!$B$3:$B$97 = "", 9999, 'team lookup'!$B$3:$B$97) &gt;= A1054),
    'team lookup'!$E$3:$E$97,
    "Other"
)</f>
        <v>Other</v>
      </c>
      <c r="E1054">
        <f t="shared" si="32"/>
        <v>0</v>
      </c>
      <c r="F1054">
        <f t="shared" si="33"/>
        <v>0</v>
      </c>
    </row>
    <row r="1055" spans="1:6" x14ac:dyDescent="0.35">
      <c r="A1055">
        <v>2023</v>
      </c>
      <c r="B1055">
        <v>77</v>
      </c>
      <c r="C1055" t="s">
        <v>234</v>
      </c>
      <c r="D1055" t="str" cm="1">
        <f t="array" ref="D1055">_xlfn.XLOOKUP(1,
    ('team lookup'!$C$3:$C$97 = B1055) * ('team lookup'!$A$3:$A$97 &lt;= A1055) * (IF('team lookup'!$B$3:$B$97 = "", 9999, 'team lookup'!$B$3:$B$97) &gt;= A1055),
    'team lookup'!$E$3:$E$97,
    "Other"
)</f>
        <v>Big Ten</v>
      </c>
      <c r="E1055">
        <f t="shared" si="32"/>
        <v>0</v>
      </c>
      <c r="F1055">
        <f t="shared" si="33"/>
        <v>1</v>
      </c>
    </row>
    <row r="1056" spans="1:6" x14ac:dyDescent="0.35">
      <c r="A1056">
        <v>2023</v>
      </c>
      <c r="B1056">
        <v>198</v>
      </c>
      <c r="C1056" t="s">
        <v>151</v>
      </c>
      <c r="D1056" t="str" cm="1">
        <f t="array" ref="D1056">_xlfn.XLOOKUP(1,
    ('team lookup'!$C$3:$C$97 = B1056) * ('team lookup'!$A$3:$A$97 &lt;= A1056) * (IF('team lookup'!$B$3:$B$97 = "", 9999, 'team lookup'!$B$3:$B$97) &gt;= A1056),
    'team lookup'!$E$3:$E$97,
    "Other"
)</f>
        <v>Other</v>
      </c>
      <c r="E1056">
        <f t="shared" si="32"/>
        <v>0</v>
      </c>
      <c r="F1056">
        <f t="shared" si="33"/>
        <v>0</v>
      </c>
    </row>
    <row r="1057" spans="1:6" x14ac:dyDescent="0.35">
      <c r="A1057">
        <v>2023</v>
      </c>
      <c r="B1057">
        <v>213</v>
      </c>
      <c r="C1057" t="s">
        <v>197</v>
      </c>
      <c r="D1057" t="str" cm="1">
        <f t="array" ref="D1057">_xlfn.XLOOKUP(1,
    ('team lookup'!$C$3:$C$97 = B1057) * ('team lookup'!$A$3:$A$97 &lt;= A1057) * (IF('team lookup'!$B$3:$B$97 = "", 9999, 'team lookup'!$B$3:$B$97) &gt;= A1057),
    'team lookup'!$E$3:$E$97,
    "Other"
)</f>
        <v>Big Ten</v>
      </c>
      <c r="E1057">
        <f t="shared" si="32"/>
        <v>0</v>
      </c>
      <c r="F1057">
        <f t="shared" si="33"/>
        <v>1</v>
      </c>
    </row>
    <row r="1058" spans="1:6" x14ac:dyDescent="0.35">
      <c r="A1058">
        <v>2023</v>
      </c>
      <c r="B1058">
        <v>221</v>
      </c>
      <c r="C1058" t="s">
        <v>152</v>
      </c>
      <c r="D1058" t="str" cm="1">
        <f t="array" ref="D1058">_xlfn.XLOOKUP(1,
    ('team lookup'!$C$3:$C$97 = B1058) * ('team lookup'!$A$3:$A$97 &lt;= A1058) * (IF('team lookup'!$B$3:$B$97 = "", 9999, 'team lookup'!$B$3:$B$97) &gt;= A1058),
    'team lookup'!$E$3:$E$97,
    "Other"
)</f>
        <v>ACC</v>
      </c>
      <c r="E1058">
        <f t="shared" si="32"/>
        <v>1</v>
      </c>
      <c r="F1058">
        <f t="shared" si="33"/>
        <v>1</v>
      </c>
    </row>
    <row r="1059" spans="1:6" x14ac:dyDescent="0.35">
      <c r="A1059">
        <v>2023</v>
      </c>
      <c r="B1059">
        <v>163</v>
      </c>
      <c r="C1059" t="s">
        <v>198</v>
      </c>
      <c r="D1059" t="str" cm="1">
        <f t="array" ref="D1059">_xlfn.XLOOKUP(1,
    ('team lookup'!$C$3:$C$97 = B1059) * ('team lookup'!$A$3:$A$97 &lt;= A1059) * (IF('team lookup'!$B$3:$B$97 = "", 9999, 'team lookup'!$B$3:$B$97) &gt;= A1059),
    'team lookup'!$E$3:$E$97,
    "Other"
)</f>
        <v>Other</v>
      </c>
      <c r="E1059">
        <f t="shared" si="32"/>
        <v>0</v>
      </c>
      <c r="F1059">
        <f t="shared" si="33"/>
        <v>0</v>
      </c>
    </row>
    <row r="1060" spans="1:6" x14ac:dyDescent="0.35">
      <c r="A1060">
        <v>2023</v>
      </c>
      <c r="B1060">
        <v>2507</v>
      </c>
      <c r="C1060" t="s">
        <v>217</v>
      </c>
      <c r="D1060" t="str" cm="1">
        <f t="array" ref="D1060">_xlfn.XLOOKUP(1,
    ('team lookup'!$C$3:$C$97 = B1060) * ('team lookup'!$A$3:$A$97 &lt;= A1060) * (IF('team lookup'!$B$3:$B$97 = "", 9999, 'team lookup'!$B$3:$B$97) &gt;= A1060),
    'team lookup'!$E$3:$E$97,
    "Other"
)</f>
        <v>Big East</v>
      </c>
      <c r="E1060">
        <f t="shared" si="32"/>
        <v>0</v>
      </c>
      <c r="F1060">
        <f t="shared" si="33"/>
        <v>1</v>
      </c>
    </row>
    <row r="1061" spans="1:6" x14ac:dyDescent="0.35">
      <c r="A1061">
        <v>2023</v>
      </c>
      <c r="B1061">
        <v>2509</v>
      </c>
      <c r="C1061" t="s">
        <v>154</v>
      </c>
      <c r="D1061" t="str" cm="1">
        <f t="array" ref="D1061">_xlfn.XLOOKUP(1,
    ('team lookup'!$C$3:$C$97 = B1061) * ('team lookup'!$A$3:$A$97 &lt;= A1061) * (IF('team lookup'!$B$3:$B$97 = "", 9999, 'team lookup'!$B$3:$B$97) &gt;= A1061),
    'team lookup'!$E$3:$E$97,
    "Other"
)</f>
        <v>Big Ten</v>
      </c>
      <c r="E1061">
        <f t="shared" si="32"/>
        <v>0</v>
      </c>
      <c r="F1061">
        <f t="shared" si="33"/>
        <v>1</v>
      </c>
    </row>
    <row r="1062" spans="1:6" x14ac:dyDescent="0.35">
      <c r="A1062">
        <v>2023</v>
      </c>
      <c r="B1062">
        <v>2608</v>
      </c>
      <c r="C1062" t="s">
        <v>156</v>
      </c>
      <c r="D1062" t="str" cm="1">
        <f t="array" ref="D1062">_xlfn.XLOOKUP(1,
    ('team lookup'!$C$3:$C$97 = B1062) * ('team lookup'!$A$3:$A$97 &lt;= A1062) * (IF('team lookup'!$B$3:$B$97 = "", 9999, 'team lookup'!$B$3:$B$97) &gt;= A1062),
    'team lookup'!$E$3:$E$97,
    "Other"
)</f>
        <v>Other</v>
      </c>
      <c r="E1062">
        <f t="shared" si="32"/>
        <v>0</v>
      </c>
      <c r="F1062">
        <f t="shared" si="33"/>
        <v>0</v>
      </c>
    </row>
    <row r="1063" spans="1:6" x14ac:dyDescent="0.35">
      <c r="A1063">
        <v>2023</v>
      </c>
      <c r="B1063">
        <v>21</v>
      </c>
      <c r="C1063" t="s">
        <v>192</v>
      </c>
      <c r="D1063" t="str" cm="1">
        <f t="array" ref="D1063">_xlfn.XLOOKUP(1,
    ('team lookup'!$C$3:$C$97 = B1063) * ('team lookup'!$A$3:$A$97 &lt;= A1063) * (IF('team lookup'!$B$3:$B$97 = "", 9999, 'team lookup'!$B$3:$B$97) &gt;= A1063),
    'team lookup'!$E$3:$E$97,
    "Other"
)</f>
        <v>Other</v>
      </c>
      <c r="E1063">
        <f t="shared" si="32"/>
        <v>0</v>
      </c>
      <c r="F1063">
        <f t="shared" si="33"/>
        <v>0</v>
      </c>
    </row>
    <row r="1064" spans="1:6" x14ac:dyDescent="0.35">
      <c r="A1064">
        <v>2023</v>
      </c>
      <c r="B1064">
        <v>2540</v>
      </c>
      <c r="C1064" t="s">
        <v>249</v>
      </c>
      <c r="D1064" t="str" cm="1">
        <f t="array" ref="D1064">_xlfn.XLOOKUP(1,
    ('team lookup'!$C$3:$C$97 = B1064) * ('team lookup'!$A$3:$A$97 &lt;= A1064) * (IF('team lookup'!$B$3:$B$97 = "", 9999, 'team lookup'!$B$3:$B$97) &gt;= A1064),
    'team lookup'!$E$3:$E$97,
    "Other"
)</f>
        <v>Other</v>
      </c>
      <c r="E1064">
        <f t="shared" si="32"/>
        <v>0</v>
      </c>
      <c r="F1064">
        <f t="shared" si="33"/>
        <v>0</v>
      </c>
    </row>
    <row r="1065" spans="1:6" x14ac:dyDescent="0.35">
      <c r="A1065">
        <v>2023</v>
      </c>
      <c r="B1065">
        <v>2546</v>
      </c>
      <c r="C1065" t="s">
        <v>250</v>
      </c>
      <c r="D1065" t="str" cm="1">
        <f t="array" ref="D1065">_xlfn.XLOOKUP(1,
    ('team lookup'!$C$3:$C$97 = B1065) * ('team lookup'!$A$3:$A$97 &lt;= A1065) * (IF('team lookup'!$B$3:$B$97 = "", 9999, 'team lookup'!$B$3:$B$97) &gt;= A1065),
    'team lookup'!$E$3:$E$97,
    "Other"
)</f>
        <v>Other</v>
      </c>
      <c r="E1065">
        <f t="shared" si="32"/>
        <v>0</v>
      </c>
      <c r="F1065">
        <f t="shared" si="33"/>
        <v>0</v>
      </c>
    </row>
    <row r="1066" spans="1:6" x14ac:dyDescent="0.35">
      <c r="A1066">
        <v>2023</v>
      </c>
      <c r="B1066">
        <v>2628</v>
      </c>
      <c r="C1066" t="s">
        <v>241</v>
      </c>
      <c r="D1066" t="str" cm="1">
        <f t="array" ref="D1066">_xlfn.XLOOKUP(1,
    ('team lookup'!$C$3:$C$97 = B1066) * ('team lookup'!$A$3:$A$97 &lt;= A1066) * (IF('team lookup'!$B$3:$B$97 = "", 9999, 'team lookup'!$B$3:$B$97) &gt;= A1066),
    'team lookup'!$E$3:$E$97,
    "Other"
)</f>
        <v>Big12</v>
      </c>
      <c r="E1066">
        <f t="shared" si="32"/>
        <v>1</v>
      </c>
      <c r="F1066">
        <f t="shared" si="33"/>
        <v>1</v>
      </c>
    </row>
    <row r="1067" spans="1:6" x14ac:dyDescent="0.35">
      <c r="A1067">
        <v>2023</v>
      </c>
      <c r="B1067">
        <v>2633</v>
      </c>
      <c r="C1067" t="s">
        <v>162</v>
      </c>
      <c r="D1067" t="str" cm="1">
        <f t="array" ref="D1067">_xlfn.XLOOKUP(1,
    ('team lookup'!$C$3:$C$97 = B1067) * ('team lookup'!$A$3:$A$97 &lt;= A1067) * (IF('team lookup'!$B$3:$B$97 = "", 9999, 'team lookup'!$B$3:$B$97) &gt;= A1067),
    'team lookup'!$E$3:$E$97,
    "Other"
)</f>
        <v>SEC</v>
      </c>
      <c r="E1067">
        <f t="shared" si="32"/>
        <v>1</v>
      </c>
      <c r="F1067">
        <f t="shared" si="33"/>
        <v>1</v>
      </c>
    </row>
    <row r="1068" spans="1:6" x14ac:dyDescent="0.35">
      <c r="A1068">
        <v>2023</v>
      </c>
      <c r="B1068">
        <v>251</v>
      </c>
      <c r="C1068" t="s">
        <v>163</v>
      </c>
      <c r="D1068" t="str" cm="1">
        <f t="array" ref="D1068">_xlfn.XLOOKUP(1,
    ('team lookup'!$C$3:$C$97 = B1068) * ('team lookup'!$A$3:$A$97 &lt;= A1068) * (IF('team lookup'!$B$3:$B$97 = "", 9999, 'team lookup'!$B$3:$B$97) &gt;= A1068),
    'team lookup'!$E$3:$E$97,
    "Other"
)</f>
        <v>Big12</v>
      </c>
      <c r="E1068">
        <f t="shared" si="32"/>
        <v>1</v>
      </c>
      <c r="F1068">
        <f t="shared" si="33"/>
        <v>1</v>
      </c>
    </row>
    <row r="1069" spans="1:6" x14ac:dyDescent="0.35">
      <c r="A1069">
        <v>2023</v>
      </c>
      <c r="B1069">
        <v>245</v>
      </c>
      <c r="C1069" t="s">
        <v>164</v>
      </c>
      <c r="D1069" t="str" cm="1">
        <f t="array" ref="D1069">_xlfn.XLOOKUP(1,
    ('team lookup'!$C$3:$C$97 = B1069) * ('team lookup'!$A$3:$A$97 &lt;= A1069) * (IF('team lookup'!$B$3:$B$97 = "", 9999, 'team lookup'!$B$3:$B$97) &gt;= A1069),
    'team lookup'!$E$3:$E$97,
    "Other"
)</f>
        <v>SEC</v>
      </c>
      <c r="E1069">
        <f t="shared" si="32"/>
        <v>1</v>
      </c>
      <c r="F1069">
        <f t="shared" si="33"/>
        <v>1</v>
      </c>
    </row>
    <row r="1070" spans="1:6" x14ac:dyDescent="0.35">
      <c r="A1070">
        <v>2023</v>
      </c>
      <c r="B1070">
        <v>357</v>
      </c>
      <c r="C1070" t="s">
        <v>248</v>
      </c>
      <c r="D1070" t="str" cm="1">
        <f t="array" ref="D1070">_xlfn.XLOOKUP(1,
    ('team lookup'!$C$3:$C$97 = B1070) * ('team lookup'!$A$3:$A$97 &lt;= A1070) * (IF('team lookup'!$B$3:$B$97 = "", 9999, 'team lookup'!$B$3:$B$97) &gt;= A1070),
    'team lookup'!$E$3:$E$97,
    "Other"
)</f>
        <v>Other</v>
      </c>
      <c r="E1070">
        <f t="shared" si="32"/>
        <v>0</v>
      </c>
      <c r="F1070">
        <f t="shared" si="33"/>
        <v>0</v>
      </c>
    </row>
    <row r="1071" spans="1:6" x14ac:dyDescent="0.35">
      <c r="A1071">
        <v>2023</v>
      </c>
      <c r="B1071">
        <v>2640</v>
      </c>
      <c r="C1071" t="s">
        <v>218</v>
      </c>
      <c r="D1071" t="str" cm="1">
        <f t="array" ref="D1071">_xlfn.XLOOKUP(1,
    ('team lookup'!$C$3:$C$97 = B1071) * ('team lookup'!$A$3:$A$97 &lt;= A1071) * (IF('team lookup'!$B$3:$B$97 = "", 9999, 'team lookup'!$B$3:$B$97) &gt;= A1071),
    'team lookup'!$E$3:$E$97,
    "Other"
)</f>
        <v>Other</v>
      </c>
      <c r="E1071">
        <f t="shared" si="32"/>
        <v>0</v>
      </c>
      <c r="F1071">
        <f t="shared" si="33"/>
        <v>0</v>
      </c>
    </row>
    <row r="1072" spans="1:6" x14ac:dyDescent="0.35">
      <c r="A1072">
        <v>2023</v>
      </c>
      <c r="B1072">
        <v>26</v>
      </c>
      <c r="C1072" t="s">
        <v>165</v>
      </c>
      <c r="D1072" t="str" cm="1">
        <f t="array" ref="D1072">_xlfn.XLOOKUP(1,
    ('team lookup'!$C$3:$C$97 = B1072) * ('team lookup'!$A$3:$A$97 &lt;= A1072) * (IF('team lookup'!$B$3:$B$97 = "", 9999, 'team lookup'!$B$3:$B$97) &gt;= A1072),
    'team lookup'!$E$3:$E$97,
    "Other"
)</f>
        <v>Other</v>
      </c>
      <c r="E1072">
        <f t="shared" si="32"/>
        <v>0</v>
      </c>
      <c r="F1072">
        <f t="shared" si="33"/>
        <v>0</v>
      </c>
    </row>
    <row r="1073" spans="1:6" x14ac:dyDescent="0.35">
      <c r="A1073">
        <v>2023</v>
      </c>
      <c r="B1073">
        <v>41</v>
      </c>
      <c r="C1073" t="s">
        <v>166</v>
      </c>
      <c r="D1073" t="str" cm="1">
        <f t="array" ref="D1073">_xlfn.XLOOKUP(1,
    ('team lookup'!$C$3:$C$97 = B1073) * ('team lookup'!$A$3:$A$97 &lt;= A1073) * (IF('team lookup'!$B$3:$B$97 = "", 9999, 'team lookup'!$B$3:$B$97) &gt;= A1073),
    'team lookup'!$E$3:$E$97,
    "Other"
)</f>
        <v>Big East</v>
      </c>
      <c r="E1073">
        <f t="shared" si="32"/>
        <v>0</v>
      </c>
      <c r="F1073">
        <f t="shared" si="33"/>
        <v>1</v>
      </c>
    </row>
    <row r="1074" spans="1:6" x14ac:dyDescent="0.35">
      <c r="A1074">
        <v>2023</v>
      </c>
      <c r="B1074">
        <v>2427</v>
      </c>
      <c r="C1074" t="s">
        <v>202</v>
      </c>
      <c r="D1074" t="str" cm="1">
        <f t="array" ref="D1074">_xlfn.XLOOKUP(1,
    ('team lookup'!$C$3:$C$97 = B1074) * ('team lookup'!$A$3:$A$97 &lt;= A1074) * (IF('team lookup'!$B$3:$B$97 = "", 9999, 'team lookup'!$B$3:$B$97) &gt;= A1074),
    'team lookup'!$E$3:$E$97,
    "Other"
)</f>
        <v>Other</v>
      </c>
      <c r="E1074">
        <f t="shared" si="32"/>
        <v>0</v>
      </c>
      <c r="F1074">
        <f t="shared" si="33"/>
        <v>0</v>
      </c>
    </row>
    <row r="1075" spans="1:6" x14ac:dyDescent="0.35">
      <c r="A1075">
        <v>2023</v>
      </c>
      <c r="B1075">
        <v>30</v>
      </c>
      <c r="C1075" t="s">
        <v>169</v>
      </c>
      <c r="D1075" t="str" cm="1">
        <f t="array" ref="D1075">_xlfn.XLOOKUP(1,
    ('team lookup'!$C$3:$C$97 = B1075) * ('team lookup'!$A$3:$A$97 &lt;= A1075) * (IF('team lookup'!$B$3:$B$97 = "", 9999, 'team lookup'!$B$3:$B$97) &gt;= A1075),
    'team lookup'!$E$3:$E$97,
    "Other"
)</f>
        <v>Other</v>
      </c>
      <c r="E1075">
        <f t="shared" si="32"/>
        <v>0</v>
      </c>
      <c r="F1075">
        <f t="shared" si="33"/>
        <v>0</v>
      </c>
    </row>
    <row r="1076" spans="1:6" x14ac:dyDescent="0.35">
      <c r="A1076">
        <v>2023</v>
      </c>
      <c r="B1076">
        <v>328</v>
      </c>
      <c r="C1076" t="s">
        <v>185</v>
      </c>
      <c r="D1076" t="str" cm="1">
        <f t="array" ref="D1076">_xlfn.XLOOKUP(1,
    ('team lookup'!$C$3:$C$97 = B1076) * ('team lookup'!$A$3:$A$97 &lt;= A1076) * (IF('team lookup'!$B$3:$B$97 = "", 9999, 'team lookup'!$B$3:$B$97) &gt;= A1076),
    'team lookup'!$E$3:$E$97,
    "Other"
)</f>
        <v>Other</v>
      </c>
      <c r="E1076">
        <f t="shared" si="32"/>
        <v>0</v>
      </c>
      <c r="F1076">
        <f t="shared" si="33"/>
        <v>0</v>
      </c>
    </row>
    <row r="1077" spans="1:6" x14ac:dyDescent="0.35">
      <c r="A1077">
        <v>2023</v>
      </c>
      <c r="B1077">
        <v>2670</v>
      </c>
      <c r="C1077" t="s">
        <v>186</v>
      </c>
      <c r="D1077" t="str" cm="1">
        <f t="array" ref="D1077">_xlfn.XLOOKUP(1,
    ('team lookup'!$C$3:$C$97 = B1077) * ('team lookup'!$A$3:$A$97 &lt;= A1077) * (IF('team lookup'!$B$3:$B$97 = "", 9999, 'team lookup'!$B$3:$B$97) &gt;= A1077),
    'team lookup'!$E$3:$E$97,
    "Other"
)</f>
        <v>Other</v>
      </c>
      <c r="E1077">
        <f t="shared" si="32"/>
        <v>0</v>
      </c>
      <c r="F1077">
        <f t="shared" si="33"/>
        <v>0</v>
      </c>
    </row>
    <row r="1078" spans="1:6" x14ac:dyDescent="0.35">
      <c r="A1078">
        <v>2023</v>
      </c>
      <c r="B1078">
        <v>261</v>
      </c>
      <c r="C1078" t="s">
        <v>195</v>
      </c>
      <c r="D1078" t="str" cm="1">
        <f t="array" ref="D1078">_xlfn.XLOOKUP(1,
    ('team lookup'!$C$3:$C$97 = B1078) * ('team lookup'!$A$3:$A$97 &lt;= A1078) * (IF('team lookup'!$B$3:$B$97 = "", 9999, 'team lookup'!$B$3:$B$97) &gt;= A1078),
    'team lookup'!$E$3:$E$97,
    "Other"
)</f>
        <v>Other</v>
      </c>
      <c r="E1078">
        <f t="shared" si="32"/>
        <v>0</v>
      </c>
      <c r="F1078">
        <f t="shared" si="33"/>
        <v>0</v>
      </c>
    </row>
    <row r="1079" spans="1:6" x14ac:dyDescent="0.35">
      <c r="A1079">
        <v>2023</v>
      </c>
      <c r="B1079">
        <v>258</v>
      </c>
      <c r="C1079" t="s">
        <v>209</v>
      </c>
      <c r="D1079" t="str" cm="1">
        <f t="array" ref="D1079">_xlfn.XLOOKUP(1,
    ('team lookup'!$C$3:$C$97 = B1079) * ('team lookup'!$A$3:$A$97 &lt;= A1079) * (IF('team lookup'!$B$3:$B$97 = "", 9999, 'team lookup'!$B$3:$B$97) &gt;= A1079),
    'team lookup'!$E$3:$E$97,
    "Other"
)</f>
        <v>ACC</v>
      </c>
      <c r="E1079">
        <f t="shared" si="32"/>
        <v>1</v>
      </c>
      <c r="F1079">
        <f t="shared" si="33"/>
        <v>1</v>
      </c>
    </row>
    <row r="1080" spans="1:6" x14ac:dyDescent="0.35">
      <c r="A1080">
        <v>2023</v>
      </c>
      <c r="B1080">
        <v>277</v>
      </c>
      <c r="C1080" t="s">
        <v>174</v>
      </c>
      <c r="D1080" t="str" cm="1">
        <f t="array" ref="D1080">_xlfn.XLOOKUP(1,
    ('team lookup'!$C$3:$C$97 = B1080) * ('team lookup'!$A$3:$A$97 &lt;= A1080) * (IF('team lookup'!$B$3:$B$97 = "", 9999, 'team lookup'!$B$3:$B$97) &gt;= A1080),
    'team lookup'!$E$3:$E$97,
    "Other"
)</f>
        <v>Big12</v>
      </c>
      <c r="E1080">
        <f t="shared" si="32"/>
        <v>1</v>
      </c>
      <c r="F1080">
        <f t="shared" si="33"/>
        <v>1</v>
      </c>
    </row>
    <row r="1081" spans="1:6" x14ac:dyDescent="0.35">
      <c r="A1081">
        <v>2023</v>
      </c>
      <c r="B1081">
        <v>2752</v>
      </c>
      <c r="C1081" t="s">
        <v>178</v>
      </c>
      <c r="D1081" t="str" cm="1">
        <f t="array" ref="D1081">_xlfn.XLOOKUP(1,
    ('team lookup'!$C$3:$C$97 = B1081) * ('team lookup'!$A$3:$A$97 &lt;= A1081) * (IF('team lookup'!$B$3:$B$97 = "", 9999, 'team lookup'!$B$3:$B$97) &gt;= A1081),
    'team lookup'!$E$3:$E$97,
    "Other"
)</f>
        <v>Big East</v>
      </c>
      <c r="E1081">
        <f t="shared" si="32"/>
        <v>0</v>
      </c>
      <c r="F1081">
        <f t="shared" si="33"/>
        <v>1</v>
      </c>
    </row>
    <row r="1082" spans="1:6" x14ac:dyDescent="0.35">
      <c r="A1082">
        <v>2024</v>
      </c>
      <c r="B1082">
        <v>152</v>
      </c>
      <c r="C1082" t="s">
        <v>90</v>
      </c>
      <c r="D1082" t="str" cm="1">
        <f t="array" ref="D1082">_xlfn.XLOOKUP(1,
    ('team lookup'!$C$3:$C$97 = B1082) * ('team lookup'!$A$3:$A$97 &lt;= A1082) * (IF('team lookup'!$B$3:$B$97 = "", 9999, 'team lookup'!$B$3:$B$97) &gt;= A1082),
    'team lookup'!$E$3:$E$97,
    "Other"
)</f>
        <v>ACC</v>
      </c>
      <c r="E1082">
        <f t="shared" si="32"/>
        <v>1</v>
      </c>
      <c r="F1082">
        <f t="shared" si="33"/>
        <v>1</v>
      </c>
    </row>
    <row r="1083" spans="1:6" x14ac:dyDescent="0.35">
      <c r="A1083">
        <v>2024</v>
      </c>
      <c r="B1083">
        <v>158</v>
      </c>
      <c r="C1083" t="s">
        <v>108</v>
      </c>
      <c r="D1083" t="str" cm="1">
        <f t="array" ref="D1083">_xlfn.XLOOKUP(1,
    ('team lookup'!$C$3:$C$97 = B1083) * ('team lookup'!$A$3:$A$97 &lt;= A1083) * (IF('team lookup'!$B$3:$B$97 = "", 9999, 'team lookup'!$B$3:$B$97) &gt;= A1083),
    'team lookup'!$E$3:$E$97,
    "Other"
)</f>
        <v>Big Ten</v>
      </c>
      <c r="E1083">
        <f t="shared" si="32"/>
        <v>0</v>
      </c>
      <c r="F1083">
        <f t="shared" si="33"/>
        <v>1</v>
      </c>
    </row>
    <row r="1084" spans="1:6" x14ac:dyDescent="0.35">
      <c r="A1084">
        <v>2024</v>
      </c>
      <c r="B1084">
        <v>2440</v>
      </c>
      <c r="C1084" t="s">
        <v>125</v>
      </c>
      <c r="D1084" t="str" cm="1">
        <f t="array" ref="D1084">_xlfn.XLOOKUP(1,
    ('team lookup'!$C$3:$C$97 = B1084) * ('team lookup'!$A$3:$A$97 &lt;= A1084) * (IF('team lookup'!$B$3:$B$97 = "", 9999, 'team lookup'!$B$3:$B$97) &gt;= A1084),
    'team lookup'!$E$3:$E$97,
    "Other"
)</f>
        <v>Other</v>
      </c>
      <c r="E1084">
        <f t="shared" si="32"/>
        <v>0</v>
      </c>
      <c r="F1084">
        <f t="shared" si="33"/>
        <v>0</v>
      </c>
    </row>
    <row r="1085" spans="1:6" x14ac:dyDescent="0.35">
      <c r="A1085">
        <v>2024</v>
      </c>
      <c r="B1085">
        <v>167</v>
      </c>
      <c r="C1085" t="s">
        <v>64</v>
      </c>
      <c r="D1085" t="str" cm="1">
        <f t="array" ref="D1085">_xlfn.XLOOKUP(1,
    ('team lookup'!$C$3:$C$97 = B1085) * ('team lookup'!$A$3:$A$97 &lt;= A1085) * (IF('team lookup'!$B$3:$B$97 = "", 9999, 'team lookup'!$B$3:$B$97) &gt;= A1085),
    'team lookup'!$E$3:$E$97,
    "Other"
)</f>
        <v>Other</v>
      </c>
      <c r="E1085">
        <f t="shared" si="32"/>
        <v>0</v>
      </c>
      <c r="F1085">
        <f t="shared" si="33"/>
        <v>0</v>
      </c>
    </row>
    <row r="1086" spans="1:6" x14ac:dyDescent="0.35">
      <c r="A1086">
        <v>2024</v>
      </c>
      <c r="B1086">
        <v>153</v>
      </c>
      <c r="C1086" t="s">
        <v>35</v>
      </c>
      <c r="D1086" t="str" cm="1">
        <f t="array" ref="D1086">_xlfn.XLOOKUP(1,
    ('team lookup'!$C$3:$C$97 = B1086) * ('team lookup'!$A$3:$A$97 &lt;= A1086) * (IF('team lookup'!$B$3:$B$97 = "", 9999, 'team lookup'!$B$3:$B$97) &gt;= A1086),
    'team lookup'!$E$3:$E$97,
    "Other"
)</f>
        <v>ACC</v>
      </c>
      <c r="E1086">
        <f t="shared" si="32"/>
        <v>1</v>
      </c>
      <c r="F1086">
        <f t="shared" si="33"/>
        <v>1</v>
      </c>
    </row>
    <row r="1087" spans="1:6" x14ac:dyDescent="0.35">
      <c r="A1087">
        <v>2024</v>
      </c>
      <c r="B1087">
        <v>77</v>
      </c>
      <c r="C1087" t="s">
        <v>234</v>
      </c>
      <c r="D1087" t="str" cm="1">
        <f t="array" ref="D1087">_xlfn.XLOOKUP(1,
    ('team lookup'!$C$3:$C$97 = B1087) * ('team lookup'!$A$3:$A$97 &lt;= A1087) * (IF('team lookup'!$B$3:$B$97 = "", 9999, 'team lookup'!$B$3:$B$97) &gt;= A1087),
    'team lookup'!$E$3:$E$97,
    "Other"
)</f>
        <v>Big Ten</v>
      </c>
      <c r="E1087">
        <f t="shared" si="32"/>
        <v>0</v>
      </c>
      <c r="F1087">
        <f t="shared" si="33"/>
        <v>1</v>
      </c>
    </row>
    <row r="1088" spans="1:6" x14ac:dyDescent="0.35">
      <c r="A1088">
        <v>2024</v>
      </c>
      <c r="B1088">
        <v>2473</v>
      </c>
      <c r="C1088" t="s">
        <v>76</v>
      </c>
      <c r="D1088" t="str" cm="1">
        <f t="array" ref="D1088">_xlfn.XLOOKUP(1,
    ('team lookup'!$C$3:$C$97 = B1088) * ('team lookup'!$A$3:$A$97 &lt;= A1088) * (IF('team lookup'!$B$3:$B$97 = "", 9999, 'team lookup'!$B$3:$B$97) &gt;= A1088),
    'team lookup'!$E$3:$E$97,
    "Other"
)</f>
        <v>Other</v>
      </c>
      <c r="E1088">
        <f t="shared" si="32"/>
        <v>0</v>
      </c>
      <c r="F1088">
        <f t="shared" si="33"/>
        <v>0</v>
      </c>
    </row>
    <row r="1089" spans="1:6" x14ac:dyDescent="0.35">
      <c r="A1089">
        <v>2024</v>
      </c>
      <c r="B1089">
        <v>2483</v>
      </c>
      <c r="C1089" t="s">
        <v>122</v>
      </c>
      <c r="D1089" t="str" cm="1">
        <f t="array" ref="D1089">_xlfn.XLOOKUP(1,
    ('team lookup'!$C$3:$C$97 = B1089) * ('team lookup'!$A$3:$A$97 &lt;= A1089) * (IF('team lookup'!$B$3:$B$97 = "", 9999, 'team lookup'!$B$3:$B$97) &gt;= A1089),
    'team lookup'!$E$3:$E$97,
    "Other"
)</f>
        <v>Other</v>
      </c>
      <c r="E1089">
        <f t="shared" si="32"/>
        <v>0</v>
      </c>
      <c r="F1089">
        <f t="shared" si="33"/>
        <v>0</v>
      </c>
    </row>
    <row r="1090" spans="1:6" x14ac:dyDescent="0.35">
      <c r="A1090">
        <v>2024</v>
      </c>
      <c r="B1090">
        <v>2509</v>
      </c>
      <c r="C1090" t="s">
        <v>154</v>
      </c>
      <c r="D1090" t="str" cm="1">
        <f t="array" ref="D1090">_xlfn.XLOOKUP(1,
    ('team lookup'!$C$3:$C$97 = B1090) * ('team lookup'!$A$3:$A$97 &lt;= A1090) * (IF('team lookup'!$B$3:$B$97 = "", 9999, 'team lookup'!$B$3:$B$97) &gt;= A1090),
    'team lookup'!$E$3:$E$97,
    "Other"
)</f>
        <v>Big Ten</v>
      </c>
      <c r="E1090">
        <f t="shared" si="32"/>
        <v>0</v>
      </c>
      <c r="F1090">
        <f t="shared" si="33"/>
        <v>1</v>
      </c>
    </row>
    <row r="1091" spans="1:6" x14ac:dyDescent="0.35">
      <c r="A1091">
        <v>2024</v>
      </c>
      <c r="B1091">
        <v>2571</v>
      </c>
      <c r="C1091" t="s">
        <v>204</v>
      </c>
      <c r="D1091" t="str" cm="1">
        <f t="array" ref="D1091">_xlfn.XLOOKUP(1,
    ('team lookup'!$C$3:$C$97 = B1091) * ('team lookup'!$A$3:$A$97 &lt;= A1091) * (IF('team lookup'!$B$3:$B$97 = "", 9999, 'team lookup'!$B$3:$B$97) &gt;= A1091),
    'team lookup'!$E$3:$E$97,
    "Other"
)</f>
        <v>Other</v>
      </c>
      <c r="E1091">
        <f t="shared" ref="E1091:E1144" si="34">IF(OR(D1091="ACC", D1091="SEC", D1091="Big12"), 1,0)</f>
        <v>0</v>
      </c>
      <c r="F1091">
        <f t="shared" ref="F1091:F1144" si="35">IF(D1091&lt;&gt;"Other", 1,0)</f>
        <v>0</v>
      </c>
    </row>
    <row r="1092" spans="1:6" x14ac:dyDescent="0.35">
      <c r="A1092">
        <v>2024</v>
      </c>
      <c r="B1092">
        <v>2608</v>
      </c>
      <c r="C1092" t="s">
        <v>156</v>
      </c>
      <c r="D1092" t="str" cm="1">
        <f t="array" ref="D1092">_xlfn.XLOOKUP(1,
    ('team lookup'!$C$3:$C$97 = B1092) * ('team lookup'!$A$3:$A$97 &lt;= A1092) * (IF('team lookup'!$B$3:$B$97 = "", 9999, 'team lookup'!$B$3:$B$97) &gt;= A1092),
    'team lookup'!$E$3:$E$97,
    "Other"
)</f>
        <v>Other</v>
      </c>
      <c r="E1092">
        <f t="shared" si="34"/>
        <v>0</v>
      </c>
      <c r="F1092">
        <f t="shared" si="35"/>
        <v>0</v>
      </c>
    </row>
    <row r="1093" spans="1:6" x14ac:dyDescent="0.35">
      <c r="A1093">
        <v>2024</v>
      </c>
      <c r="B1093">
        <v>2612</v>
      </c>
      <c r="C1093" t="s">
        <v>199</v>
      </c>
      <c r="D1093" t="str" cm="1">
        <f t="array" ref="D1093">_xlfn.XLOOKUP(1,
    ('team lookup'!$C$3:$C$97 = B1093) * ('team lookup'!$A$3:$A$97 &lt;= A1093) * (IF('team lookup'!$B$3:$B$97 = "", 9999, 'team lookup'!$B$3:$B$97) &gt;= A1093),
    'team lookup'!$E$3:$E$97,
    "Other"
)</f>
        <v>Other</v>
      </c>
      <c r="E1093">
        <f t="shared" si="34"/>
        <v>0</v>
      </c>
      <c r="F1093">
        <f t="shared" si="35"/>
        <v>0</v>
      </c>
    </row>
    <row r="1094" spans="1:6" x14ac:dyDescent="0.35">
      <c r="A1094">
        <v>2024</v>
      </c>
      <c r="B1094">
        <v>2535</v>
      </c>
      <c r="C1094" t="s">
        <v>251</v>
      </c>
      <c r="D1094" t="str" cm="1">
        <f t="array" ref="D1094">_xlfn.XLOOKUP(1,
    ('team lookup'!$C$3:$C$97 = B1094) * ('team lookup'!$A$3:$A$97 &lt;= A1094) * (IF('team lookup'!$B$3:$B$97 = "", 9999, 'team lookup'!$B$3:$B$97) &gt;= A1094),
    'team lookup'!$E$3:$E$97,
    "Other"
)</f>
        <v>Other</v>
      </c>
      <c r="E1094">
        <f t="shared" si="34"/>
        <v>0</v>
      </c>
      <c r="F1094">
        <f t="shared" si="35"/>
        <v>0</v>
      </c>
    </row>
    <row r="1095" spans="1:6" x14ac:dyDescent="0.35">
      <c r="A1095">
        <v>2024</v>
      </c>
      <c r="B1095">
        <v>21</v>
      </c>
      <c r="C1095" t="s">
        <v>192</v>
      </c>
      <c r="D1095" t="str" cm="1">
        <f t="array" ref="D1095">_xlfn.XLOOKUP(1,
    ('team lookup'!$C$3:$C$97 = B1095) * ('team lookup'!$A$3:$A$97 &lt;= A1095) * (IF('team lookup'!$B$3:$B$97 = "", 9999, 'team lookup'!$B$3:$B$97) &gt;= A1095),
    'team lookup'!$E$3:$E$97,
    "Other"
)</f>
        <v>Other</v>
      </c>
      <c r="E1095">
        <f t="shared" si="34"/>
        <v>0</v>
      </c>
      <c r="F1095">
        <f t="shared" si="35"/>
        <v>0</v>
      </c>
    </row>
    <row r="1096" spans="1:6" x14ac:dyDescent="0.35">
      <c r="A1096">
        <v>2024</v>
      </c>
      <c r="B1096">
        <v>2579</v>
      </c>
      <c r="C1096" t="s">
        <v>236</v>
      </c>
      <c r="D1096" t="str" cm="1">
        <f t="array" ref="D1096">_xlfn.XLOOKUP(1,
    ('team lookup'!$C$3:$C$97 = B1096) * ('team lookup'!$A$3:$A$97 &lt;= A1096) * (IF('team lookup'!$B$3:$B$97 = "", 9999, 'team lookup'!$B$3:$B$97) &gt;= A1096),
    'team lookup'!$E$3:$E$97,
    "Other"
)</f>
        <v>SEC</v>
      </c>
      <c r="E1096">
        <f t="shared" si="34"/>
        <v>1</v>
      </c>
      <c r="F1096">
        <f t="shared" si="35"/>
        <v>1</v>
      </c>
    </row>
    <row r="1097" spans="1:6" x14ac:dyDescent="0.35">
      <c r="A1097">
        <v>2024</v>
      </c>
      <c r="B1097">
        <v>56</v>
      </c>
      <c r="C1097" t="s">
        <v>252</v>
      </c>
      <c r="D1097" t="str" cm="1">
        <f t="array" ref="D1097">_xlfn.XLOOKUP(1,
    ('team lookup'!$C$3:$C$97 = B1097) * ('team lookup'!$A$3:$A$97 &lt;= A1097) * (IF('team lookup'!$B$3:$B$97 = "", 9999, 'team lookup'!$B$3:$B$97) &gt;= A1097),
    'team lookup'!$E$3:$E$97,
    "Other"
)</f>
        <v>Other</v>
      </c>
      <c r="E1097">
        <f t="shared" si="34"/>
        <v>0</v>
      </c>
      <c r="F1097">
        <f t="shared" si="35"/>
        <v>0</v>
      </c>
    </row>
    <row r="1098" spans="1:6" x14ac:dyDescent="0.35">
      <c r="A1098">
        <v>2024</v>
      </c>
      <c r="B1098">
        <v>2628</v>
      </c>
      <c r="C1098" t="s">
        <v>241</v>
      </c>
      <c r="D1098" t="str" cm="1">
        <f t="array" ref="D1098">_xlfn.XLOOKUP(1,
    ('team lookup'!$C$3:$C$97 = B1098) * ('team lookup'!$A$3:$A$97 &lt;= A1098) * (IF('team lookup'!$B$3:$B$97 = "", 9999, 'team lookup'!$B$3:$B$97) &gt;= A1098),
    'team lookup'!$E$3:$E$97,
    "Other"
)</f>
        <v>Big12</v>
      </c>
      <c r="E1098">
        <f t="shared" si="34"/>
        <v>1</v>
      </c>
      <c r="F1098">
        <f t="shared" si="35"/>
        <v>1</v>
      </c>
    </row>
    <row r="1099" spans="1:6" x14ac:dyDescent="0.35">
      <c r="A1099">
        <v>2024</v>
      </c>
      <c r="B1099">
        <v>2633</v>
      </c>
      <c r="C1099" t="s">
        <v>162</v>
      </c>
      <c r="D1099" t="str" cm="1">
        <f t="array" ref="D1099">_xlfn.XLOOKUP(1,
    ('team lookup'!$C$3:$C$97 = B1099) * ('team lookup'!$A$3:$A$97 &lt;= A1099) * (IF('team lookup'!$B$3:$B$97 = "", 9999, 'team lookup'!$B$3:$B$97) &gt;= A1099),
    'team lookup'!$E$3:$E$97,
    "Other"
)</f>
        <v>SEC</v>
      </c>
      <c r="E1099">
        <f t="shared" si="34"/>
        <v>1</v>
      </c>
      <c r="F1099">
        <f t="shared" si="35"/>
        <v>1</v>
      </c>
    </row>
    <row r="1100" spans="1:6" x14ac:dyDescent="0.35">
      <c r="A1100">
        <v>2024</v>
      </c>
      <c r="B1100">
        <v>251</v>
      </c>
      <c r="C1100" t="s">
        <v>163</v>
      </c>
      <c r="D1100" t="str" cm="1">
        <f t="array" ref="D1100">_xlfn.XLOOKUP(1,
    ('team lookup'!$C$3:$C$97 = B1100) * ('team lookup'!$A$3:$A$97 &lt;= A1100) * (IF('team lookup'!$B$3:$B$97 = "", 9999, 'team lookup'!$B$3:$B$97) &gt;= A1100),
    'team lookup'!$E$3:$E$97,
    "Other"
)</f>
        <v>Big12</v>
      </c>
      <c r="E1100">
        <f t="shared" si="34"/>
        <v>1</v>
      </c>
      <c r="F1100">
        <f t="shared" si="35"/>
        <v>1</v>
      </c>
    </row>
    <row r="1101" spans="1:6" x14ac:dyDescent="0.35">
      <c r="A1101">
        <v>2024</v>
      </c>
      <c r="B1101">
        <v>245</v>
      </c>
      <c r="C1101" t="s">
        <v>164</v>
      </c>
      <c r="D1101" t="str" cm="1">
        <f t="array" ref="D1101">_xlfn.XLOOKUP(1,
    ('team lookup'!$C$3:$C$97 = B1101) * ('team lookup'!$A$3:$A$97 &lt;= A1101) * (IF('team lookup'!$B$3:$B$97 = "", 9999, 'team lookup'!$B$3:$B$97) &gt;= A1101),
    'team lookup'!$E$3:$E$97,
    "Other"
)</f>
        <v>SEC</v>
      </c>
      <c r="E1101">
        <f t="shared" si="34"/>
        <v>1</v>
      </c>
      <c r="F1101">
        <f t="shared" si="35"/>
        <v>1</v>
      </c>
    </row>
    <row r="1102" spans="1:6" x14ac:dyDescent="0.35">
      <c r="A1102">
        <v>2024</v>
      </c>
      <c r="B1102">
        <v>2641</v>
      </c>
      <c r="C1102" t="s">
        <v>230</v>
      </c>
      <c r="D1102" t="str" cm="1">
        <f t="array" ref="D1102">_xlfn.XLOOKUP(1,
    ('team lookup'!$C$3:$C$97 = B1102) * ('team lookup'!$A$3:$A$97 &lt;= A1102) * (IF('team lookup'!$B$3:$B$97 = "", 9999, 'team lookup'!$B$3:$B$97) &gt;= A1102),
    'team lookup'!$E$3:$E$97,
    "Other"
)</f>
        <v>Big12</v>
      </c>
      <c r="E1102">
        <f t="shared" si="34"/>
        <v>1</v>
      </c>
      <c r="F1102">
        <f t="shared" si="35"/>
        <v>1</v>
      </c>
    </row>
    <row r="1103" spans="1:6" x14ac:dyDescent="0.35">
      <c r="A1103">
        <v>2024</v>
      </c>
      <c r="B1103">
        <v>5</v>
      </c>
      <c r="C1103" t="s">
        <v>201</v>
      </c>
      <c r="D1103" t="str" cm="1">
        <f t="array" ref="D1103">_xlfn.XLOOKUP(1,
    ('team lookup'!$C$3:$C$97 = B1103) * ('team lookup'!$A$3:$A$97 &lt;= A1103) * (IF('team lookup'!$B$3:$B$97 = "", 9999, 'team lookup'!$B$3:$B$97) &gt;= A1103),
    'team lookup'!$E$3:$E$97,
    "Other"
)</f>
        <v>Other</v>
      </c>
      <c r="E1103">
        <f t="shared" si="34"/>
        <v>0</v>
      </c>
      <c r="F1103">
        <f t="shared" si="35"/>
        <v>0</v>
      </c>
    </row>
    <row r="1104" spans="1:6" x14ac:dyDescent="0.35">
      <c r="A1104">
        <v>2024</v>
      </c>
      <c r="B1104">
        <v>41</v>
      </c>
      <c r="C1104" t="s">
        <v>166</v>
      </c>
      <c r="D1104" t="str" cm="1">
        <f t="array" ref="D1104">_xlfn.XLOOKUP(1,
    ('team lookup'!$C$3:$C$97 = B1104) * ('team lookup'!$A$3:$A$97 &lt;= A1104) * (IF('team lookup'!$B$3:$B$97 = "", 9999, 'team lookup'!$B$3:$B$97) &gt;= A1104),
    'team lookup'!$E$3:$E$97,
    "Other"
)</f>
        <v>Big East</v>
      </c>
      <c r="E1104">
        <f t="shared" si="34"/>
        <v>0</v>
      </c>
      <c r="F1104">
        <f t="shared" si="35"/>
        <v>1</v>
      </c>
    </row>
    <row r="1105" spans="1:6" x14ac:dyDescent="0.35">
      <c r="A1105">
        <v>2024</v>
      </c>
      <c r="B1105">
        <v>328</v>
      </c>
      <c r="C1105" t="s">
        <v>185</v>
      </c>
      <c r="D1105" t="str" cm="1">
        <f t="array" ref="D1105">_xlfn.XLOOKUP(1,
    ('team lookup'!$C$3:$C$97 = B1105) * ('team lookup'!$A$3:$A$97 &lt;= A1105) * (IF('team lookup'!$B$3:$B$97 = "", 9999, 'team lookup'!$B$3:$B$97) &gt;= A1105),
    'team lookup'!$E$3:$E$97,
    "Other"
)</f>
        <v>Other</v>
      </c>
      <c r="E1105">
        <f t="shared" si="34"/>
        <v>0</v>
      </c>
      <c r="F1105">
        <f t="shared" si="35"/>
        <v>0</v>
      </c>
    </row>
    <row r="1106" spans="1:6" x14ac:dyDescent="0.35">
      <c r="A1106">
        <v>2024</v>
      </c>
      <c r="B1106">
        <v>261</v>
      </c>
      <c r="C1106" t="s">
        <v>195</v>
      </c>
      <c r="D1106" t="str" cm="1">
        <f t="array" ref="D1106">_xlfn.XLOOKUP(1,
    ('team lookup'!$C$3:$C$97 = B1106) * ('team lookup'!$A$3:$A$97 &lt;= A1106) * (IF('team lookup'!$B$3:$B$97 = "", 9999, 'team lookup'!$B$3:$B$97) &gt;= A1106),
    'team lookup'!$E$3:$E$97,
    "Other"
)</f>
        <v>Other</v>
      </c>
      <c r="E1106">
        <f t="shared" si="34"/>
        <v>0</v>
      </c>
      <c r="F1106">
        <f t="shared" si="35"/>
        <v>0</v>
      </c>
    </row>
    <row r="1107" spans="1:6" x14ac:dyDescent="0.35">
      <c r="A1107">
        <v>2024</v>
      </c>
      <c r="B1107">
        <v>258</v>
      </c>
      <c r="C1107" t="s">
        <v>209</v>
      </c>
      <c r="D1107" t="str" cm="1">
        <f t="array" ref="D1107">_xlfn.XLOOKUP(1,
    ('team lookup'!$C$3:$C$97 = B1107) * ('team lookup'!$A$3:$A$97 &lt;= A1107) * (IF('team lookup'!$B$3:$B$97 = "", 9999, 'team lookup'!$B$3:$B$97) &gt;= A1107),
    'team lookup'!$E$3:$E$97,
    "Other"
)</f>
        <v>ACC</v>
      </c>
      <c r="E1107">
        <f t="shared" si="34"/>
        <v>1</v>
      </c>
      <c r="F1107">
        <f t="shared" si="35"/>
        <v>1</v>
      </c>
    </row>
    <row r="1108" spans="1:6" x14ac:dyDescent="0.35">
      <c r="A1108">
        <v>2024</v>
      </c>
      <c r="B1108">
        <v>2681</v>
      </c>
      <c r="C1108" t="s">
        <v>253</v>
      </c>
      <c r="D1108" t="str" cm="1">
        <f t="array" ref="D1108">_xlfn.XLOOKUP(1,
    ('team lookup'!$C$3:$C$97 = B1108) * ('team lookup'!$A$3:$A$97 &lt;= A1108) * (IF('team lookup'!$B$3:$B$97 = "", 9999, 'team lookup'!$B$3:$B$97) &gt;= A1108),
    'team lookup'!$E$3:$E$97,
    "Other"
)</f>
        <v>Other</v>
      </c>
      <c r="E1108">
        <f t="shared" si="34"/>
        <v>0</v>
      </c>
      <c r="F1108">
        <f t="shared" si="35"/>
        <v>0</v>
      </c>
    </row>
    <row r="1109" spans="1:6" x14ac:dyDescent="0.35">
      <c r="A1109">
        <v>2024</v>
      </c>
      <c r="B1109">
        <v>265</v>
      </c>
      <c r="C1109" t="s">
        <v>173</v>
      </c>
      <c r="D1109" t="str" cm="1">
        <f t="array" ref="D1109">_xlfn.XLOOKUP(1,
    ('team lookup'!$C$3:$C$97 = B1109) * ('team lookup'!$A$3:$A$97 &lt;= A1109) * (IF('team lookup'!$B$3:$B$97 = "", 9999, 'team lookup'!$B$3:$B$97) &gt;= A1109),
    'team lookup'!$E$3:$E$97,
    "Other"
)</f>
        <v>Other</v>
      </c>
      <c r="E1109">
        <f t="shared" si="34"/>
        <v>0</v>
      </c>
      <c r="F1109">
        <f t="shared" si="35"/>
        <v>0</v>
      </c>
    </row>
    <row r="1110" spans="1:6" x14ac:dyDescent="0.35">
      <c r="A1110">
        <v>2024</v>
      </c>
      <c r="B1110">
        <v>98</v>
      </c>
      <c r="C1110" t="s">
        <v>175</v>
      </c>
      <c r="D1110" t="str" cm="1">
        <f t="array" ref="D1110">_xlfn.XLOOKUP(1,
    ('team lookup'!$C$3:$C$97 = B1110) * ('team lookup'!$A$3:$A$97 &lt;= A1110) * (IF('team lookup'!$B$3:$B$97 = "", 9999, 'team lookup'!$B$3:$B$97) &gt;= A1110),
    'team lookup'!$E$3:$E$97,
    "Other"
)</f>
        <v>Other</v>
      </c>
      <c r="E1110">
        <f t="shared" si="34"/>
        <v>0</v>
      </c>
      <c r="F1110">
        <f t="shared" si="35"/>
        <v>0</v>
      </c>
    </row>
    <row r="1111" spans="1:6" x14ac:dyDescent="0.35">
      <c r="A1111">
        <v>2024</v>
      </c>
      <c r="B1111">
        <v>275</v>
      </c>
      <c r="C1111" t="s">
        <v>177</v>
      </c>
      <c r="D1111" t="str" cm="1">
        <f t="array" ref="D1111">_xlfn.XLOOKUP(1,
    ('team lookup'!$C$3:$C$97 = B1111) * ('team lookup'!$A$3:$A$97 &lt;= A1111) * (IF('team lookup'!$B$3:$B$97 = "", 9999, 'team lookup'!$B$3:$B$97) &gt;= A1111),
    'team lookup'!$E$3:$E$97,
    "Other"
)</f>
        <v>Big Ten</v>
      </c>
      <c r="E1111">
        <f t="shared" si="34"/>
        <v>0</v>
      </c>
      <c r="F1111">
        <f t="shared" si="35"/>
        <v>1</v>
      </c>
    </row>
    <row r="1112" spans="1:6" x14ac:dyDescent="0.35">
      <c r="A1112">
        <v>2024</v>
      </c>
      <c r="B1112">
        <v>43</v>
      </c>
      <c r="C1112" t="s">
        <v>232</v>
      </c>
      <c r="D1112" t="str" cm="1">
        <f t="array" ref="D1112">_xlfn.XLOOKUP(1,
    ('team lookup'!$C$3:$C$97 = B1112) * ('team lookup'!$A$3:$A$97 &lt;= A1112) * (IF('team lookup'!$B$3:$B$97 = "", 9999, 'team lookup'!$B$3:$B$97) &gt;= A1112),
    'team lookup'!$E$3:$E$97,
    "Other"
)</f>
        <v>Other</v>
      </c>
      <c r="E1112">
        <f t="shared" si="34"/>
        <v>0</v>
      </c>
      <c r="F1112">
        <f t="shared" si="35"/>
        <v>0</v>
      </c>
    </row>
    <row r="1113" spans="1:6" x14ac:dyDescent="0.35">
      <c r="A1113">
        <v>2025</v>
      </c>
      <c r="B1113">
        <v>149</v>
      </c>
      <c r="C1113" t="s">
        <v>62</v>
      </c>
      <c r="D1113" t="str" cm="1">
        <f t="array" ref="D1113">_xlfn.XLOOKUP(1,
    ('team lookup'!$C$3:$C$97 = B1113) * ('team lookup'!$A$3:$A$97 &lt;= A1113) * (IF('team lookup'!$B$3:$B$97 = "", 9999, 'team lookup'!$B$3:$B$97) &gt;= A1113),
    'team lookup'!$E$3:$E$97,
    "Other"
)</f>
        <v>Other</v>
      </c>
      <c r="E1113">
        <f t="shared" si="34"/>
        <v>0</v>
      </c>
      <c r="F1113">
        <f t="shared" si="35"/>
        <v>0</v>
      </c>
    </row>
    <row r="1114" spans="1:6" x14ac:dyDescent="0.35">
      <c r="A1114">
        <v>2025</v>
      </c>
      <c r="B1114">
        <v>116</v>
      </c>
      <c r="C1114" t="s">
        <v>254</v>
      </c>
      <c r="D1114" t="str" cm="1">
        <f t="array" ref="D1114">_xlfn.XLOOKUP(1,
    ('team lookup'!$C$3:$C$97 = B1114) * ('team lookup'!$A$3:$A$97 &lt;= A1114) * (IF('team lookup'!$B$3:$B$97 = "", 9999, 'team lookup'!$B$3:$B$97) &gt;= A1114),
    'team lookup'!$E$3:$E$97,
    "Other"
)</f>
        <v>Other</v>
      </c>
      <c r="E1114">
        <f t="shared" si="34"/>
        <v>0</v>
      </c>
      <c r="F1114">
        <f t="shared" si="35"/>
        <v>0</v>
      </c>
    </row>
    <row r="1115" spans="1:6" x14ac:dyDescent="0.35">
      <c r="A1115">
        <v>2025</v>
      </c>
      <c r="B1115">
        <v>167</v>
      </c>
      <c r="C1115" t="s">
        <v>64</v>
      </c>
      <c r="D1115" t="str" cm="1">
        <f t="array" ref="D1115">_xlfn.XLOOKUP(1,
    ('team lookup'!$C$3:$C$97 = B1115) * ('team lookup'!$A$3:$A$97 &lt;= A1115) * (IF('team lookup'!$B$3:$B$97 = "", 9999, 'team lookup'!$B$3:$B$97) &gt;= A1115),
    'team lookup'!$E$3:$E$97,
    "Other"
)</f>
        <v>Other</v>
      </c>
      <c r="E1115">
        <f t="shared" si="34"/>
        <v>0</v>
      </c>
      <c r="F1115">
        <f t="shared" si="35"/>
        <v>0</v>
      </c>
    </row>
    <row r="1116" spans="1:6" x14ac:dyDescent="0.35">
      <c r="A1116">
        <v>2025</v>
      </c>
      <c r="B1116">
        <v>2450</v>
      </c>
      <c r="C1116" t="s">
        <v>139</v>
      </c>
      <c r="D1116" t="str" cm="1">
        <f t="array" ref="D1116">_xlfn.XLOOKUP(1,
    ('team lookup'!$C$3:$C$97 = B1116) * ('team lookup'!$A$3:$A$97 &lt;= A1116) * (IF('team lookup'!$B$3:$B$97 = "", 9999, 'team lookup'!$B$3:$B$97) &gt;= A1116),
    'team lookup'!$E$3:$E$97,
    "Other"
)</f>
        <v>Other</v>
      </c>
      <c r="E1116">
        <f t="shared" si="34"/>
        <v>0</v>
      </c>
      <c r="F1116">
        <f t="shared" si="35"/>
        <v>0</v>
      </c>
    </row>
    <row r="1117" spans="1:6" x14ac:dyDescent="0.35">
      <c r="A1117">
        <v>2025</v>
      </c>
      <c r="B1117">
        <v>153</v>
      </c>
      <c r="C1117" t="s">
        <v>35</v>
      </c>
      <c r="D1117" t="str" cm="1">
        <f t="array" ref="D1117">_xlfn.XLOOKUP(1,
    ('team lookup'!$C$3:$C$97 = B1117) * ('team lookup'!$A$3:$A$97 &lt;= A1117) * (IF('team lookup'!$B$3:$B$97 = "", 9999, 'team lookup'!$B$3:$B$97) &gt;= A1117),
    'team lookup'!$E$3:$E$97,
    "Other"
)</f>
        <v>ACC</v>
      </c>
      <c r="E1117">
        <f t="shared" si="34"/>
        <v>1</v>
      </c>
      <c r="F1117">
        <f t="shared" si="35"/>
        <v>1</v>
      </c>
    </row>
    <row r="1118" spans="1:6" x14ac:dyDescent="0.35">
      <c r="A1118">
        <v>2025</v>
      </c>
      <c r="B1118">
        <v>201</v>
      </c>
      <c r="C1118" t="s">
        <v>121</v>
      </c>
      <c r="D1118" t="str" cm="1">
        <f t="array" ref="D1118">_xlfn.XLOOKUP(1,
    ('team lookup'!$C$3:$C$97 = B1118) * ('team lookup'!$A$3:$A$97 &lt;= A1118) * (IF('team lookup'!$B$3:$B$97 = "", 9999, 'team lookup'!$B$3:$B$97) &gt;= A1118),
    'team lookup'!$E$3:$E$97,
    "Other"
)</f>
        <v>SEC</v>
      </c>
      <c r="E1118">
        <f t="shared" si="34"/>
        <v>1</v>
      </c>
      <c r="F1118">
        <f t="shared" si="35"/>
        <v>1</v>
      </c>
    </row>
    <row r="1119" spans="1:6" x14ac:dyDescent="0.35">
      <c r="A1119">
        <v>2025</v>
      </c>
      <c r="B1119">
        <v>145</v>
      </c>
      <c r="C1119" t="s">
        <v>213</v>
      </c>
      <c r="D1119" t="str" cm="1">
        <f t="array" ref="D1119">_xlfn.XLOOKUP(1,
    ('team lookup'!$C$3:$C$97 = B1119) * ('team lookup'!$A$3:$A$97 &lt;= A1119) * (IF('team lookup'!$B$3:$B$97 = "", 9999, 'team lookup'!$B$3:$B$97) &gt;= A1119),
    'team lookup'!$E$3:$E$97,
    "Other"
)</f>
        <v>SEC</v>
      </c>
      <c r="E1119">
        <f t="shared" si="34"/>
        <v>1</v>
      </c>
      <c r="F1119">
        <f t="shared" si="35"/>
        <v>1</v>
      </c>
    </row>
    <row r="1120" spans="1:6" x14ac:dyDescent="0.35">
      <c r="A1120">
        <v>2025</v>
      </c>
      <c r="B1120">
        <v>2437</v>
      </c>
      <c r="C1120" t="s">
        <v>255</v>
      </c>
      <c r="D1120" t="str" cm="1">
        <f t="array" ref="D1120">_xlfn.XLOOKUP(1,
    ('team lookup'!$C$3:$C$97 = B1120) * ('team lookup'!$A$3:$A$97 &lt;= A1120) * (IF('team lookup'!$B$3:$B$97 = "", 9999, 'team lookup'!$B$3:$B$97) &gt;= A1120),
    'team lookup'!$E$3:$E$97,
    "Other"
)</f>
        <v>Other</v>
      </c>
      <c r="E1120">
        <f t="shared" si="34"/>
        <v>0</v>
      </c>
      <c r="F1120">
        <f t="shared" si="35"/>
        <v>0</v>
      </c>
    </row>
    <row r="1121" spans="1:6" x14ac:dyDescent="0.35">
      <c r="A1121">
        <v>2025</v>
      </c>
      <c r="B1121">
        <v>2483</v>
      </c>
      <c r="C1121" t="s">
        <v>122</v>
      </c>
      <c r="D1121" t="str" cm="1">
        <f t="array" ref="D1121">_xlfn.XLOOKUP(1,
    ('team lookup'!$C$3:$C$97 = B1121) * ('team lookup'!$A$3:$A$97 &lt;= A1121) * (IF('team lookup'!$B$3:$B$97 = "", 9999, 'team lookup'!$B$3:$B$97) &gt;= A1121),
    'team lookup'!$E$3:$E$97,
    "Other"
)</f>
        <v>Big Ten</v>
      </c>
      <c r="E1121">
        <f t="shared" si="34"/>
        <v>0</v>
      </c>
      <c r="F1121">
        <f t="shared" si="35"/>
        <v>1</v>
      </c>
    </row>
    <row r="1122" spans="1:6" x14ac:dyDescent="0.35">
      <c r="A1122">
        <v>2025</v>
      </c>
      <c r="B1122">
        <v>2509</v>
      </c>
      <c r="C1122" t="s">
        <v>154</v>
      </c>
      <c r="D1122" t="str" cm="1">
        <f t="array" ref="D1122">_xlfn.XLOOKUP(1,
    ('team lookup'!$C$3:$C$97 = B1122) * ('team lookup'!$A$3:$A$97 &lt;= A1122) * (IF('team lookup'!$B$3:$B$97 = "", 9999, 'team lookup'!$B$3:$B$97) &gt;= A1122),
    'team lookup'!$E$3:$E$97,
    "Other"
)</f>
        <v>Big Ten</v>
      </c>
      <c r="E1122">
        <f t="shared" si="34"/>
        <v>0</v>
      </c>
      <c r="F1122">
        <f t="shared" si="35"/>
        <v>1</v>
      </c>
    </row>
    <row r="1123" spans="1:6" x14ac:dyDescent="0.35">
      <c r="A1123">
        <v>2025</v>
      </c>
      <c r="B1123">
        <v>2523</v>
      </c>
      <c r="C1123" t="s">
        <v>181</v>
      </c>
      <c r="D1123" t="str" cm="1">
        <f t="array" ref="D1123">_xlfn.XLOOKUP(1,
    ('team lookup'!$C$3:$C$97 = B1123) * ('team lookup'!$A$3:$A$97 &lt;= A1123) * (IF('team lookup'!$B$3:$B$97 = "", 9999, 'team lookup'!$B$3:$B$97) &gt;= A1123),
    'team lookup'!$E$3:$E$97,
    "Other"
)</f>
        <v>Other</v>
      </c>
      <c r="E1123">
        <f t="shared" si="34"/>
        <v>0</v>
      </c>
      <c r="F1123">
        <f t="shared" si="35"/>
        <v>0</v>
      </c>
    </row>
    <row r="1124" spans="1:6" x14ac:dyDescent="0.35">
      <c r="A1124">
        <v>2025</v>
      </c>
      <c r="B1124">
        <v>2598</v>
      </c>
      <c r="C1124" t="s">
        <v>256</v>
      </c>
      <c r="D1124" t="str" cm="1">
        <f t="array" ref="D1124">_xlfn.XLOOKUP(1,
    ('team lookup'!$C$3:$C$97 = B1124) * ('team lookup'!$A$3:$A$97 &lt;= A1124) * (IF('team lookup'!$B$3:$B$97 = "", 9999, 'team lookup'!$B$3:$B$97) &gt;= A1124),
    'team lookup'!$E$3:$E$97,
    "Other"
)</f>
        <v>Other</v>
      </c>
      <c r="E1124">
        <f t="shared" si="34"/>
        <v>0</v>
      </c>
      <c r="F1124">
        <f t="shared" si="35"/>
        <v>0</v>
      </c>
    </row>
    <row r="1125" spans="1:6" x14ac:dyDescent="0.35">
      <c r="A1125">
        <v>2025</v>
      </c>
      <c r="B1125">
        <v>2608</v>
      </c>
      <c r="C1125" t="s">
        <v>156</v>
      </c>
      <c r="D1125" t="str" cm="1">
        <f t="array" ref="D1125">_xlfn.XLOOKUP(1,
    ('team lookup'!$C$3:$C$97 = B1125) * ('team lookup'!$A$3:$A$97 &lt;= A1125) * (IF('team lookup'!$B$3:$B$97 = "", 9999, 'team lookup'!$B$3:$B$97) &gt;= A1125),
    'team lookup'!$E$3:$E$97,
    "Other"
)</f>
        <v>Other</v>
      </c>
      <c r="E1125">
        <f t="shared" si="34"/>
        <v>0</v>
      </c>
      <c r="F1125">
        <f t="shared" si="35"/>
        <v>0</v>
      </c>
    </row>
    <row r="1126" spans="1:6" x14ac:dyDescent="0.35">
      <c r="A1126">
        <v>2025</v>
      </c>
      <c r="B1126">
        <v>21</v>
      </c>
      <c r="C1126" t="s">
        <v>192</v>
      </c>
      <c r="D1126" t="str" cm="1">
        <f t="array" ref="D1126">_xlfn.XLOOKUP(1,
    ('team lookup'!$C$3:$C$97 = B1126) * ('team lookup'!$A$3:$A$97 &lt;= A1126) * (IF('team lookup'!$B$3:$B$97 = "", 9999, 'team lookup'!$B$3:$B$97) &gt;= A1126),
    'team lookup'!$E$3:$E$97,
    "Other"
)</f>
        <v>Other</v>
      </c>
      <c r="E1126">
        <f t="shared" si="34"/>
        <v>0</v>
      </c>
      <c r="F1126">
        <f t="shared" si="35"/>
        <v>0</v>
      </c>
    </row>
    <row r="1127" spans="1:6" x14ac:dyDescent="0.35">
      <c r="A1127">
        <v>2025</v>
      </c>
      <c r="B1127">
        <v>2565</v>
      </c>
      <c r="C1127" t="s">
        <v>257</v>
      </c>
      <c r="D1127" t="str" cm="1">
        <f t="array" ref="D1127">_xlfn.XLOOKUP(1,
    ('team lookup'!$C$3:$C$97 = B1127) * ('team lookup'!$A$3:$A$97 &lt;= A1127) * (IF('team lookup'!$B$3:$B$97 = "", 9999, 'team lookup'!$B$3:$B$97) &gt;= A1127),
    'team lookup'!$E$3:$E$97,
    "Other"
)</f>
        <v>Other</v>
      </c>
      <c r="E1127">
        <f t="shared" si="34"/>
        <v>0</v>
      </c>
      <c r="F1127">
        <f t="shared" si="35"/>
        <v>0</v>
      </c>
    </row>
    <row r="1128" spans="1:6" x14ac:dyDescent="0.35">
      <c r="A1128">
        <v>2025</v>
      </c>
      <c r="B1128">
        <v>2599</v>
      </c>
      <c r="C1128" t="s">
        <v>200</v>
      </c>
      <c r="D1128" t="str" cm="1">
        <f t="array" ref="D1128">_xlfn.XLOOKUP(1,
    ('team lookup'!$C$3:$C$97 = B1128) * ('team lookup'!$A$3:$A$97 &lt;= A1128) * (IF('team lookup'!$B$3:$B$97 = "", 9999, 'team lookup'!$B$3:$B$97) &gt;= A1128),
    'team lookup'!$E$3:$E$97,
    "Other"
)</f>
        <v>Big East</v>
      </c>
      <c r="E1128">
        <f t="shared" si="34"/>
        <v>0</v>
      </c>
      <c r="F1128">
        <f t="shared" si="35"/>
        <v>1</v>
      </c>
    </row>
    <row r="1129" spans="1:6" x14ac:dyDescent="0.35">
      <c r="A1129">
        <v>2025</v>
      </c>
      <c r="B1129">
        <v>2633</v>
      </c>
      <c r="C1129" t="s">
        <v>162</v>
      </c>
      <c r="D1129" t="str" cm="1">
        <f t="array" ref="D1129">_xlfn.XLOOKUP(1,
    ('team lookup'!$C$3:$C$97 = B1129) * ('team lookup'!$A$3:$A$97 &lt;= A1129) * (IF('team lookup'!$B$3:$B$97 = "", 9999, 'team lookup'!$B$3:$B$97) &gt;= A1129),
    'team lookup'!$E$3:$E$97,
    "Other"
)</f>
        <v>SEC</v>
      </c>
      <c r="E1129">
        <f t="shared" si="34"/>
        <v>1</v>
      </c>
      <c r="F1129">
        <f t="shared" si="35"/>
        <v>1</v>
      </c>
    </row>
    <row r="1130" spans="1:6" x14ac:dyDescent="0.35">
      <c r="A1130">
        <v>2025</v>
      </c>
      <c r="B1130">
        <v>251</v>
      </c>
      <c r="C1130" t="s">
        <v>163</v>
      </c>
      <c r="D1130" t="str" cm="1">
        <f t="array" ref="D1130">_xlfn.XLOOKUP(1,
    ('team lookup'!$C$3:$C$97 = B1130) * ('team lookup'!$A$3:$A$97 &lt;= A1130) * (IF('team lookup'!$B$3:$B$97 = "", 9999, 'team lookup'!$B$3:$B$97) &gt;= A1130),
    'team lookup'!$E$3:$E$97,
    "Other"
)</f>
        <v>SEC</v>
      </c>
      <c r="E1130">
        <f t="shared" si="34"/>
        <v>1</v>
      </c>
      <c r="F1130">
        <f t="shared" si="35"/>
        <v>1</v>
      </c>
    </row>
    <row r="1131" spans="1:6" x14ac:dyDescent="0.35">
      <c r="A1131">
        <v>2025</v>
      </c>
      <c r="B1131">
        <v>245</v>
      </c>
      <c r="C1131" t="s">
        <v>164</v>
      </c>
      <c r="D1131" t="str" cm="1">
        <f t="array" ref="D1131">_xlfn.XLOOKUP(1,
    ('team lookup'!$C$3:$C$97 = B1131) * ('team lookup'!$A$3:$A$97 &lt;= A1131) * (IF('team lookup'!$B$3:$B$97 = "", 9999, 'team lookup'!$B$3:$B$97) &gt;= A1131),
    'team lookup'!$E$3:$E$97,
    "Other"
)</f>
        <v>SEC</v>
      </c>
      <c r="E1131">
        <f t="shared" si="34"/>
        <v>1</v>
      </c>
      <c r="F1131">
        <f t="shared" si="35"/>
        <v>1</v>
      </c>
    </row>
    <row r="1132" spans="1:6" x14ac:dyDescent="0.35">
      <c r="A1132">
        <v>2025</v>
      </c>
      <c r="B1132">
        <v>2641</v>
      </c>
      <c r="C1132" t="s">
        <v>230</v>
      </c>
      <c r="D1132" t="str" cm="1">
        <f t="array" ref="D1132">_xlfn.XLOOKUP(1,
    ('team lookup'!$C$3:$C$97 = B1132) * ('team lookup'!$A$3:$A$97 &lt;= A1132) * (IF('team lookup'!$B$3:$B$97 = "", 9999, 'team lookup'!$B$3:$B$97) &gt;= A1132),
    'team lookup'!$E$3:$E$97,
    "Other"
)</f>
        <v>Big12</v>
      </c>
      <c r="E1132">
        <f t="shared" si="34"/>
        <v>1</v>
      </c>
      <c r="F1132">
        <f t="shared" si="35"/>
        <v>1</v>
      </c>
    </row>
    <row r="1133" spans="1:6" x14ac:dyDescent="0.35">
      <c r="A1133">
        <v>2025</v>
      </c>
      <c r="B1133">
        <v>2653</v>
      </c>
      <c r="C1133" t="s">
        <v>237</v>
      </c>
      <c r="D1133" t="str" cm="1">
        <f t="array" ref="D1133">_xlfn.XLOOKUP(1,
    ('team lookup'!$C$3:$C$97 = B1133) * ('team lookup'!$A$3:$A$97 &lt;= A1133) * (IF('team lookup'!$B$3:$B$97 = "", 9999, 'team lookup'!$B$3:$B$97) &gt;= A1133),
    'team lookup'!$E$3:$E$97,
    "Other"
)</f>
        <v>Other</v>
      </c>
      <c r="E1133">
        <f t="shared" si="34"/>
        <v>0</v>
      </c>
      <c r="F1133">
        <f t="shared" si="35"/>
        <v>0</v>
      </c>
    </row>
    <row r="1134" spans="1:6" x14ac:dyDescent="0.35">
      <c r="A1134">
        <v>2025</v>
      </c>
      <c r="B1134">
        <v>28</v>
      </c>
      <c r="C1134" t="s">
        <v>258</v>
      </c>
      <c r="D1134" t="str" cm="1">
        <f t="array" ref="D1134">_xlfn.XLOOKUP(1,
    ('team lookup'!$C$3:$C$97 = B1134) * ('team lookup'!$A$3:$A$97 &lt;= A1134) * (IF('team lookup'!$B$3:$B$97 = "", 9999, 'team lookup'!$B$3:$B$97) &gt;= A1134),
    'team lookup'!$E$3:$E$97,
    "Other"
)</f>
        <v>Other</v>
      </c>
      <c r="E1134">
        <f t="shared" si="34"/>
        <v>0</v>
      </c>
      <c r="F1134">
        <f t="shared" si="35"/>
        <v>0</v>
      </c>
    </row>
    <row r="1135" spans="1:6" x14ac:dyDescent="0.35">
      <c r="A1135">
        <v>2025</v>
      </c>
      <c r="B1135">
        <v>26</v>
      </c>
      <c r="C1135" t="s">
        <v>165</v>
      </c>
      <c r="D1135" t="str" cm="1">
        <f t="array" ref="D1135">_xlfn.XLOOKUP(1,
    ('team lookup'!$C$3:$C$97 = B1135) * ('team lookup'!$A$3:$A$97 &lt;= A1135) * (IF('team lookup'!$B$3:$B$97 = "", 9999, 'team lookup'!$B$3:$B$97) &gt;= A1135),
    'team lookup'!$E$3:$E$97,
    "Other"
)</f>
        <v>Big Ten</v>
      </c>
      <c r="E1135">
        <f t="shared" si="34"/>
        <v>0</v>
      </c>
      <c r="F1135">
        <f t="shared" si="35"/>
        <v>1</v>
      </c>
    </row>
    <row r="1136" spans="1:6" x14ac:dyDescent="0.35">
      <c r="A1136">
        <v>2025</v>
      </c>
      <c r="B1136">
        <v>41</v>
      </c>
      <c r="C1136" t="s">
        <v>166</v>
      </c>
      <c r="D1136" t="str" cm="1">
        <f t="array" ref="D1136">_xlfn.XLOOKUP(1,
    ('team lookup'!$C$3:$C$97 = B1136) * ('team lookup'!$A$3:$A$97 &lt;= A1136) * (IF('team lookup'!$B$3:$B$97 = "", 9999, 'team lookup'!$B$3:$B$97) &gt;= A1136),
    'team lookup'!$E$3:$E$97,
    "Other"
)</f>
        <v>Big East</v>
      </c>
      <c r="E1136">
        <f t="shared" si="34"/>
        <v>0</v>
      </c>
      <c r="F1136">
        <f t="shared" si="35"/>
        <v>1</v>
      </c>
    </row>
    <row r="1137" spans="1:6" x14ac:dyDescent="0.35">
      <c r="A1137">
        <v>2025</v>
      </c>
      <c r="B1137">
        <v>350</v>
      </c>
      <c r="C1137" t="s">
        <v>231</v>
      </c>
      <c r="D1137" t="str" cm="1">
        <f t="array" ref="D1137">_xlfn.XLOOKUP(1,
    ('team lookup'!$C$3:$C$97 = B1137) * ('team lookup'!$A$3:$A$97 &lt;= A1137) * (IF('team lookup'!$B$3:$B$97 = "", 9999, 'team lookup'!$B$3:$B$97) &gt;= A1137),
    'team lookup'!$E$3:$E$97,
    "Other"
)</f>
        <v>Other</v>
      </c>
      <c r="E1137">
        <f t="shared" si="34"/>
        <v>0</v>
      </c>
      <c r="F1137">
        <f t="shared" si="35"/>
        <v>0</v>
      </c>
    </row>
    <row r="1138" spans="1:6" x14ac:dyDescent="0.35">
      <c r="A1138">
        <v>2025</v>
      </c>
      <c r="B1138">
        <v>328</v>
      </c>
      <c r="C1138" t="s">
        <v>185</v>
      </c>
      <c r="D1138" t="str" cm="1">
        <f t="array" ref="D1138">_xlfn.XLOOKUP(1,
    ('team lookup'!$C$3:$C$97 = B1138) * ('team lookup'!$A$3:$A$97 &lt;= A1138) * (IF('team lookup'!$B$3:$B$97 = "", 9999, 'team lookup'!$B$3:$B$97) &gt;= A1138),
    'team lookup'!$E$3:$E$97,
    "Other"
)</f>
        <v>Other</v>
      </c>
      <c r="E1138">
        <f t="shared" si="34"/>
        <v>0</v>
      </c>
      <c r="F1138">
        <f t="shared" si="35"/>
        <v>0</v>
      </c>
    </row>
    <row r="1139" spans="1:6" x14ac:dyDescent="0.35">
      <c r="A1139">
        <v>2025</v>
      </c>
      <c r="B1139">
        <v>238</v>
      </c>
      <c r="C1139" t="s">
        <v>171</v>
      </c>
      <c r="D1139" t="str" cm="1">
        <f t="array" ref="D1139">_xlfn.XLOOKUP(1,
    ('team lookup'!$C$3:$C$97 = B1139) * ('team lookup'!$A$3:$A$97 &lt;= A1139) * (IF('team lookup'!$B$3:$B$97 = "", 9999, 'team lookup'!$B$3:$B$97) &gt;= A1139),
    'team lookup'!$E$3:$E$97,
    "Other"
)</f>
        <v>SEC</v>
      </c>
      <c r="E1139">
        <f t="shared" si="34"/>
        <v>1</v>
      </c>
      <c r="F1139">
        <f t="shared" si="35"/>
        <v>1</v>
      </c>
    </row>
    <row r="1140" spans="1:6" x14ac:dyDescent="0.35">
      <c r="A1140">
        <v>2025</v>
      </c>
      <c r="B1140">
        <v>2670</v>
      </c>
      <c r="C1140" t="s">
        <v>186</v>
      </c>
      <c r="D1140" t="str" cm="1">
        <f t="array" ref="D1140">_xlfn.XLOOKUP(1,
    ('team lookup'!$C$3:$C$97 = B1140) * ('team lookup'!$A$3:$A$97 &lt;= A1140) * (IF('team lookup'!$B$3:$B$97 = "", 9999, 'team lookup'!$B$3:$B$97) &gt;= A1140),
    'team lookup'!$E$3:$E$97,
    "Other"
)</f>
        <v>Other</v>
      </c>
      <c r="E1140">
        <f t="shared" si="34"/>
        <v>0</v>
      </c>
      <c r="F1140">
        <f t="shared" si="35"/>
        <v>0</v>
      </c>
    </row>
    <row r="1141" spans="1:6" x14ac:dyDescent="0.35">
      <c r="A1141">
        <v>2025</v>
      </c>
      <c r="B1141">
        <v>275</v>
      </c>
      <c r="C1141" t="s">
        <v>177</v>
      </c>
      <c r="D1141" t="str" cm="1">
        <f t="array" ref="D1141">_xlfn.XLOOKUP(1,
    ('team lookup'!$C$3:$C$97 = B1141) * ('team lookup'!$A$3:$A$97 &lt;= A1141) * (IF('team lookup'!$B$3:$B$97 = "", 9999, 'team lookup'!$B$3:$B$97) &gt;= A1141),
    'team lookup'!$E$3:$E$97,
    "Other"
)</f>
        <v>Big Ten</v>
      </c>
      <c r="E1141">
        <f t="shared" si="34"/>
        <v>0</v>
      </c>
      <c r="F1141">
        <f t="shared" si="35"/>
        <v>1</v>
      </c>
    </row>
    <row r="1142" spans="1:6" x14ac:dyDescent="0.35">
      <c r="A1142">
        <v>2025</v>
      </c>
      <c r="B1142">
        <v>2747</v>
      </c>
      <c r="C1142" t="s">
        <v>196</v>
      </c>
      <c r="D1142" t="str" cm="1">
        <f t="array" ref="D1142">_xlfn.XLOOKUP(1,
    ('team lookup'!$C$3:$C$97 = B1142) * ('team lookup'!$A$3:$A$97 &lt;= A1142) * (IF('team lookup'!$B$3:$B$97 = "", 9999, 'team lookup'!$B$3:$B$97) &gt;= A1142),
    'team lookup'!$E$3:$E$97,
    "Other"
)</f>
        <v>Other</v>
      </c>
      <c r="E1142">
        <f t="shared" si="34"/>
        <v>0</v>
      </c>
      <c r="F1142">
        <f t="shared" si="35"/>
        <v>0</v>
      </c>
    </row>
    <row r="1143" spans="1:6" x14ac:dyDescent="0.35">
      <c r="A1143">
        <v>2025</v>
      </c>
      <c r="B1143">
        <v>2752</v>
      </c>
      <c r="C1143" t="s">
        <v>178</v>
      </c>
      <c r="D1143" t="str" cm="1">
        <f t="array" ref="D1143">_xlfn.XLOOKUP(1,
    ('team lookup'!$C$3:$C$97 = B1143) * ('team lookup'!$A$3:$A$97 &lt;= A1143) * (IF('team lookup'!$B$3:$B$97 = "", 9999, 'team lookup'!$B$3:$B$97) &gt;= A1143),
    'team lookup'!$E$3:$E$97,
    "Other"
)</f>
        <v>Big East</v>
      </c>
      <c r="E1143">
        <f t="shared" si="34"/>
        <v>0</v>
      </c>
      <c r="F1143">
        <f t="shared" si="35"/>
        <v>1</v>
      </c>
    </row>
    <row r="1144" spans="1:6" x14ac:dyDescent="0.35">
      <c r="A1144">
        <v>2025</v>
      </c>
      <c r="B1144">
        <v>43</v>
      </c>
      <c r="C1144" t="s">
        <v>232</v>
      </c>
      <c r="D1144" t="str" cm="1">
        <f t="array" ref="D1144">_xlfn.XLOOKUP(1,
    ('team lookup'!$C$3:$C$97 = B1144) * ('team lookup'!$A$3:$A$97 &lt;= A1144) * (IF('team lookup'!$B$3:$B$97 = "", 9999, 'team lookup'!$B$3:$B$97) &gt;= A1144),
    'team lookup'!$E$3:$E$97,
    "Other"
)</f>
        <v>Other</v>
      </c>
      <c r="E1144">
        <f t="shared" si="34"/>
        <v>0</v>
      </c>
      <c r="F1144">
        <f t="shared" si="35"/>
        <v>0</v>
      </c>
    </row>
    <row r="1145" spans="1:6" x14ac:dyDescent="0.35">
      <c r="A1145">
        <v>2026</v>
      </c>
      <c r="B1145">
        <v>2006</v>
      </c>
      <c r="C1145" t="s">
        <v>37</v>
      </c>
      <c r="D1145" t="str" cm="1">
        <f t="array" ref="D1145">_xlfn.XLOOKUP(1,
    ('team lookup'!$C$3:$C$97 = B1145) * ('team lookup'!$A$3:$A$97 &lt;= A1145) * (IF('team lookup'!$B$3:$B$97 = "", 9999, 'team lookup'!$B$3:$B$97) &gt;= A1145),
    'team lookup'!$E$3:$E$97,
    "Other"
)</f>
        <v>Other</v>
      </c>
      <c r="E1145">
        <f t="shared" ref="E1145:E1208" si="36">IF(OR(D1145="ACC", D1145="SEC", D1145="Big12"), 1,0)</f>
        <v>0</v>
      </c>
      <c r="F1145">
        <f t="shared" ref="F1145:F1208" si="37">IF(D1145&lt;&gt;"Other", 1,0)</f>
        <v>0</v>
      </c>
    </row>
    <row r="1146" spans="1:6" x14ac:dyDescent="0.35">
      <c r="A1146">
        <v>2026</v>
      </c>
      <c r="B1146">
        <v>333</v>
      </c>
      <c r="C1146" t="s">
        <v>79</v>
      </c>
      <c r="D1146" t="str" cm="1">
        <f t="array" ref="D1146">_xlfn.XLOOKUP(1,
    ('team lookup'!$C$3:$C$97 = B1146) * ('team lookup'!$A$3:$A$97 &lt;= A1146) * (IF('team lookup'!$B$3:$B$97 = "", 9999, 'team lookup'!$B$3:$B$97) &gt;= A1146),
    'team lookup'!$E$3:$E$97,
    "Other"
)</f>
        <v>SEC</v>
      </c>
      <c r="E1146">
        <f t="shared" si="36"/>
        <v>1</v>
      </c>
      <c r="F1146">
        <f t="shared" si="37"/>
        <v>1</v>
      </c>
    </row>
    <row r="1147" spans="1:6" x14ac:dyDescent="0.35">
      <c r="A1147">
        <v>2026</v>
      </c>
      <c r="B1147">
        <v>12</v>
      </c>
      <c r="C1147" t="s">
        <v>4</v>
      </c>
      <c r="D1147" t="str" cm="1">
        <f t="array" ref="D1147">_xlfn.XLOOKUP(1,
    ('team lookup'!$C$3:$C$97 = B1147) * ('team lookup'!$A$3:$A$97 &lt;= A1147) * (IF('team lookup'!$B$3:$B$97 = "", 9999, 'team lookup'!$B$3:$B$97) &gt;= A1147),
    'team lookup'!$E$3:$E$97,
    "Other"
)</f>
        <v>Big12</v>
      </c>
      <c r="E1147">
        <f t="shared" si="36"/>
        <v>1</v>
      </c>
      <c r="F1147">
        <f t="shared" si="37"/>
        <v>1</v>
      </c>
    </row>
    <row r="1148" spans="1:6" x14ac:dyDescent="0.35">
      <c r="A1148">
        <v>2026</v>
      </c>
      <c r="B1148">
        <v>8</v>
      </c>
      <c r="C1148" t="s">
        <v>5</v>
      </c>
      <c r="D1148" t="str" cm="1">
        <f t="array" ref="D1148">_xlfn.XLOOKUP(1,
    ('team lookup'!$C$3:$C$97 = B1148) * ('team lookup'!$A$3:$A$97 &lt;= A1148) * (IF('team lookup'!$B$3:$B$97 = "", 9999, 'team lookup'!$B$3:$B$97) &gt;= A1148),
    'team lookup'!$E$3:$E$97,
    "Other"
)</f>
        <v>SEC</v>
      </c>
      <c r="E1148">
        <f t="shared" si="36"/>
        <v>1</v>
      </c>
      <c r="F1148">
        <f t="shared" si="37"/>
        <v>1</v>
      </c>
    </row>
    <row r="1149" spans="1:6" x14ac:dyDescent="0.35">
      <c r="A1149">
        <v>2026</v>
      </c>
      <c r="B1149">
        <v>252</v>
      </c>
      <c r="C1149" t="s">
        <v>11</v>
      </c>
      <c r="D1149" t="str" cm="1">
        <f t="array" ref="D1149">_xlfn.XLOOKUP(1,
    ('team lookup'!$C$3:$C$97 = B1149) * ('team lookup'!$A$3:$A$97 &lt;= A1149) * (IF('team lookup'!$B$3:$B$97 = "", 9999, 'team lookup'!$B$3:$B$97) &gt;= A1149),
    'team lookup'!$E$3:$E$97,
    "Other"
)</f>
        <v>Big12</v>
      </c>
      <c r="E1149">
        <f t="shared" si="36"/>
        <v>1</v>
      </c>
      <c r="F1149">
        <f t="shared" si="37"/>
        <v>1</v>
      </c>
    </row>
    <row r="1150" spans="1:6" x14ac:dyDescent="0.35">
      <c r="A1150">
        <v>2026</v>
      </c>
      <c r="B1150">
        <v>2856</v>
      </c>
      <c r="C1150" t="s">
        <v>272</v>
      </c>
      <c r="D1150" t="str" cm="1">
        <f t="array" ref="D1150">_xlfn.XLOOKUP(1,
    ('team lookup'!$C$3:$C$97 = B1150) * ('team lookup'!$A$3:$A$97 &lt;= A1150) * (IF('team lookup'!$B$3:$B$97 = "", 9999, 'team lookup'!$B$3:$B$97) &gt;= A1150),
    'team lookup'!$E$3:$E$97,
    "Other"
)</f>
        <v>Other</v>
      </c>
      <c r="E1150">
        <f t="shared" si="36"/>
        <v>0</v>
      </c>
      <c r="F1150">
        <f t="shared" si="37"/>
        <v>0</v>
      </c>
    </row>
    <row r="1151" spans="1:6" x14ac:dyDescent="0.35">
      <c r="A1151">
        <v>2026</v>
      </c>
      <c r="B1151">
        <v>228</v>
      </c>
      <c r="C1151" t="s">
        <v>12</v>
      </c>
      <c r="D1151" t="str" cm="1">
        <f t="array" ref="D1151">_xlfn.XLOOKUP(1,
    ('team lookup'!$C$3:$C$97 = B1151) * ('team lookup'!$A$3:$A$97 &lt;= A1151) * (IF('team lookup'!$B$3:$B$97 = "", 9999, 'team lookup'!$B$3:$B$97) &gt;= A1151),
    'team lookup'!$E$3:$E$97,
    "Other"
)</f>
        <v>ACC</v>
      </c>
      <c r="E1151">
        <f t="shared" si="36"/>
        <v>1</v>
      </c>
      <c r="F1151">
        <f t="shared" si="37"/>
        <v>1</v>
      </c>
    </row>
    <row r="1152" spans="1:6" x14ac:dyDescent="0.35">
      <c r="A1152">
        <v>2026</v>
      </c>
      <c r="B1152">
        <v>150</v>
      </c>
      <c r="C1152" t="s">
        <v>16</v>
      </c>
      <c r="D1152" t="str" cm="1">
        <f t="array" ref="D1152">_xlfn.XLOOKUP(1,
    ('team lookup'!$C$3:$C$97 = B1152) * ('team lookup'!$A$3:$A$97 &lt;= A1152) * (IF('team lookup'!$B$3:$B$97 = "", 9999, 'team lookup'!$B$3:$B$97) &gt;= A1152),
    'team lookup'!$E$3:$E$97,
    "Other"
)</f>
        <v>ACC</v>
      </c>
      <c r="E1152">
        <f t="shared" si="36"/>
        <v>1</v>
      </c>
      <c r="F1152">
        <f t="shared" si="37"/>
        <v>1</v>
      </c>
    </row>
    <row r="1153" spans="1:6" x14ac:dyDescent="0.35">
      <c r="A1153">
        <v>2026</v>
      </c>
      <c r="B1153">
        <v>57</v>
      </c>
      <c r="C1153" t="s">
        <v>58</v>
      </c>
      <c r="D1153" t="str" cm="1">
        <f t="array" ref="D1153">_xlfn.XLOOKUP(1,
    ('team lookup'!$C$3:$C$97 = B1153) * ('team lookup'!$A$3:$A$97 &lt;= A1153) * (IF('team lookup'!$B$3:$B$97 = "", 9999, 'team lookup'!$B$3:$B$97) &gt;= A1153),
    'team lookup'!$E$3:$E$97,
    "Other"
)</f>
        <v>SEC</v>
      </c>
      <c r="E1153">
        <f t="shared" si="36"/>
        <v>1</v>
      </c>
      <c r="F1153">
        <f t="shared" si="37"/>
        <v>1</v>
      </c>
    </row>
    <row r="1154" spans="1:6" x14ac:dyDescent="0.35">
      <c r="A1154">
        <v>2026</v>
      </c>
      <c r="B1154">
        <v>231</v>
      </c>
      <c r="C1154" t="s">
        <v>144</v>
      </c>
      <c r="D1154" t="str" cm="1">
        <f t="array" ref="D1154">_xlfn.XLOOKUP(1,
    ('team lookup'!$C$3:$C$97 = B1154) * ('team lookup'!$A$3:$A$97 &lt;= A1154) * (IF('team lookup'!$B$3:$B$97 = "", 9999, 'team lookup'!$B$3:$B$97) &gt;= A1154),
    'team lookup'!$E$3:$E$97,
    "Other"
)</f>
        <v>Other</v>
      </c>
      <c r="E1154">
        <f t="shared" si="36"/>
        <v>0</v>
      </c>
      <c r="F1154">
        <f t="shared" si="37"/>
        <v>0</v>
      </c>
    </row>
    <row r="1155" spans="1:6" x14ac:dyDescent="0.35">
      <c r="A1155">
        <v>2026</v>
      </c>
      <c r="B1155">
        <v>61</v>
      </c>
      <c r="C1155" t="s">
        <v>20</v>
      </c>
      <c r="D1155" t="str" cm="1">
        <f t="array" ref="D1155">_xlfn.XLOOKUP(1,
    ('team lookup'!$C$3:$C$97 = B1155) * ('team lookup'!$A$3:$A$97 &lt;= A1155) * (IF('team lookup'!$B$3:$B$97 = "", 9999, 'team lookup'!$B$3:$B$97) &gt;= A1155),
    'team lookup'!$E$3:$E$97,
    "Other"
)</f>
        <v>SEC</v>
      </c>
      <c r="E1155">
        <f t="shared" si="36"/>
        <v>1</v>
      </c>
      <c r="F1155">
        <f t="shared" si="37"/>
        <v>1</v>
      </c>
    </row>
    <row r="1156" spans="1:6" x14ac:dyDescent="0.35">
      <c r="A1156">
        <v>2026</v>
      </c>
      <c r="B1156">
        <v>2250</v>
      </c>
      <c r="C1156" t="s">
        <v>21</v>
      </c>
      <c r="D1156" t="str" cm="1">
        <f t="array" ref="D1156">_xlfn.XLOOKUP(1,
    ('team lookup'!$C$3:$C$97 = B1156) * ('team lookup'!$A$3:$A$97 &lt;= A1156) * (IF('team lookup'!$B$3:$B$97 = "", 9999, 'team lookup'!$B$3:$B$97) &gt;= A1156),
    'team lookup'!$E$3:$E$97,
    "Other"
)</f>
        <v>Other</v>
      </c>
      <c r="E1156">
        <f t="shared" si="36"/>
        <v>0</v>
      </c>
      <c r="F1156">
        <f t="shared" si="37"/>
        <v>0</v>
      </c>
    </row>
    <row r="1157" spans="1:6" x14ac:dyDescent="0.35">
      <c r="A1157">
        <v>2026</v>
      </c>
      <c r="B1157">
        <v>62</v>
      </c>
      <c r="C1157" t="s">
        <v>118</v>
      </c>
      <c r="D1157" t="str" cm="1">
        <f t="array" ref="D1157">_xlfn.XLOOKUP(1,
    ('team lookup'!$C$3:$C$97 = B1157) * ('team lookup'!$A$3:$A$97 &lt;= A1157) * (IF('team lookup'!$B$3:$B$97 = "", 9999, 'team lookup'!$B$3:$B$97) &gt;= A1157),
    'team lookup'!$E$3:$E$97,
    "Other"
)</f>
        <v>Other</v>
      </c>
      <c r="E1157">
        <f t="shared" si="36"/>
        <v>0</v>
      </c>
      <c r="F1157">
        <f t="shared" si="37"/>
        <v>0</v>
      </c>
    </row>
    <row r="1158" spans="1:6" x14ac:dyDescent="0.35">
      <c r="A1158">
        <v>2026</v>
      </c>
      <c r="B1158">
        <v>2272</v>
      </c>
      <c r="C1158" t="s">
        <v>150</v>
      </c>
      <c r="D1158" t="str" cm="1">
        <f t="array" ref="D1158">_xlfn.XLOOKUP(1,
    ('team lookup'!$C$3:$C$97 = B1158) * ('team lookup'!$A$3:$A$97 &lt;= A1158) * (IF('team lookup'!$B$3:$B$97 = "", 9999, 'team lookup'!$B$3:$B$97) &gt;= A1158),
    'team lookup'!$E$3:$E$97,
    "Other"
)</f>
        <v>Other</v>
      </c>
      <c r="E1158">
        <f t="shared" si="36"/>
        <v>0</v>
      </c>
      <c r="F1158">
        <f t="shared" si="37"/>
        <v>0</v>
      </c>
    </row>
    <row r="1159" spans="1:6" x14ac:dyDescent="0.35">
      <c r="A1159">
        <v>2026</v>
      </c>
      <c r="B1159">
        <v>2275</v>
      </c>
      <c r="C1159" t="s">
        <v>273</v>
      </c>
      <c r="D1159" t="str" cm="1">
        <f t="array" ref="D1159">_xlfn.XLOOKUP(1,
    ('team lookup'!$C$3:$C$97 = B1159) * ('team lookup'!$A$3:$A$97 &lt;= A1159) * (IF('team lookup'!$B$3:$B$97 = "", 9999, 'team lookup'!$B$3:$B$97) &gt;= A1159),
    'team lookup'!$E$3:$E$97,
    "Other"
)</f>
        <v>Other</v>
      </c>
      <c r="E1159">
        <f t="shared" si="36"/>
        <v>0</v>
      </c>
      <c r="F1159">
        <f t="shared" si="37"/>
        <v>0</v>
      </c>
    </row>
    <row r="1160" spans="1:6" x14ac:dyDescent="0.35">
      <c r="A1160">
        <v>2026</v>
      </c>
      <c r="B1160">
        <v>248</v>
      </c>
      <c r="C1160" t="s">
        <v>60</v>
      </c>
      <c r="D1160" t="str" cm="1">
        <f t="array" ref="D1160">_xlfn.XLOOKUP(1,
    ('team lookup'!$C$3:$C$97 = B1160) * ('team lookup'!$A$3:$A$97 &lt;= A1160) * (IF('team lookup'!$B$3:$B$97 = "", 9999, 'team lookup'!$B$3:$B$97) &gt;= A1160),
    'team lookup'!$E$3:$E$97,
    "Other"
)</f>
        <v>Big12</v>
      </c>
      <c r="E1160">
        <f t="shared" si="36"/>
        <v>1</v>
      </c>
      <c r="F1160">
        <f t="shared" si="37"/>
        <v>1</v>
      </c>
    </row>
    <row r="1161" spans="1:6" x14ac:dyDescent="0.35">
      <c r="A1161">
        <v>2026</v>
      </c>
      <c r="B1161">
        <v>47</v>
      </c>
      <c r="C1161" t="s">
        <v>145</v>
      </c>
      <c r="D1161" t="str" cm="1">
        <f t="array" ref="D1161">_xlfn.XLOOKUP(1,
    ('team lookup'!$C$3:$C$97 = B1161) * ('team lookup'!$A$3:$A$97 &lt;= A1161) * (IF('team lookup'!$B$3:$B$97 = "", 9999, 'team lookup'!$B$3:$B$97) &gt;= A1161),
    'team lookup'!$E$3:$E$97,
    "Other"
)</f>
        <v>Other</v>
      </c>
      <c r="E1161">
        <f t="shared" si="36"/>
        <v>0</v>
      </c>
      <c r="F1161">
        <f t="shared" si="37"/>
        <v>0</v>
      </c>
    </row>
    <row r="1162" spans="1:6" x14ac:dyDescent="0.35">
      <c r="A1162">
        <v>2026</v>
      </c>
      <c r="B1162">
        <v>70</v>
      </c>
      <c r="C1162" t="s">
        <v>274</v>
      </c>
      <c r="D1162" t="str" cm="1">
        <f t="array" ref="D1162">_xlfn.XLOOKUP(1,
    ('team lookup'!$C$3:$C$97 = B1162) * ('team lookup'!$A$3:$A$97 &lt;= A1162) * (IF('team lookup'!$B$3:$B$97 = "", 9999, 'team lookup'!$B$3:$B$97) &gt;= A1162),
    'team lookup'!$E$3:$E$97,
    "Other"
)</f>
        <v>Other</v>
      </c>
      <c r="E1162">
        <f t="shared" si="36"/>
        <v>0</v>
      </c>
      <c r="F1162">
        <f t="shared" si="37"/>
        <v>0</v>
      </c>
    </row>
    <row r="1163" spans="1:6" x14ac:dyDescent="0.35">
      <c r="A1163">
        <v>2026</v>
      </c>
      <c r="B1163">
        <v>356</v>
      </c>
      <c r="C1163" t="s">
        <v>49</v>
      </c>
      <c r="D1163" t="str" cm="1">
        <f t="array" ref="D1163">_xlfn.XLOOKUP(1,
    ('team lookup'!$C$3:$C$97 = B1163) * ('team lookup'!$A$3:$A$97 &lt;= A1163) * (IF('team lookup'!$B$3:$B$97 = "", 9999, 'team lookup'!$B$3:$B$97) &gt;= A1163),
    'team lookup'!$E$3:$E$97,
    "Other"
)</f>
        <v>Big Ten</v>
      </c>
      <c r="E1163">
        <f t="shared" si="36"/>
        <v>0</v>
      </c>
      <c r="F1163">
        <f t="shared" si="37"/>
        <v>1</v>
      </c>
    </row>
    <row r="1164" spans="1:6" x14ac:dyDescent="0.35">
      <c r="A1164">
        <v>2026</v>
      </c>
      <c r="B1164">
        <v>2294</v>
      </c>
      <c r="C1164" t="s">
        <v>101</v>
      </c>
      <c r="D1164" t="str" cm="1">
        <f t="array" ref="D1164">_xlfn.XLOOKUP(1,
    ('team lookup'!$C$3:$C$97 = B1164) * ('team lookup'!$A$3:$A$97 &lt;= A1164) * (IF('team lookup'!$B$3:$B$97 = "", 9999, 'team lookup'!$B$3:$B$97) &gt;= A1164),
    'team lookup'!$E$3:$E$97,
    "Other"
)</f>
        <v>Big Ten</v>
      </c>
      <c r="E1164">
        <f t="shared" si="36"/>
        <v>0</v>
      </c>
      <c r="F1164">
        <f t="shared" si="37"/>
        <v>1</v>
      </c>
    </row>
    <row r="1165" spans="1:6" x14ac:dyDescent="0.35">
      <c r="A1165">
        <v>2026</v>
      </c>
      <c r="B1165">
        <v>66</v>
      </c>
      <c r="C1165" t="s">
        <v>86</v>
      </c>
      <c r="D1165" t="str" cm="1">
        <f t="array" ref="D1165">_xlfn.XLOOKUP(1,
    ('team lookup'!$C$3:$C$97 = B1165) * ('team lookup'!$A$3:$A$97 &lt;= A1165) * (IF('team lookup'!$B$3:$B$97 = "", 9999, 'team lookup'!$B$3:$B$97) &gt;= A1165),
    'team lookup'!$E$3:$E$97,
    "Other"
)</f>
        <v>Big12</v>
      </c>
      <c r="E1165">
        <f t="shared" si="36"/>
        <v>1</v>
      </c>
      <c r="F1165">
        <f t="shared" si="37"/>
        <v>1</v>
      </c>
    </row>
    <row r="1166" spans="1:6" x14ac:dyDescent="0.35">
      <c r="A1166">
        <v>2026</v>
      </c>
      <c r="B1166">
        <v>2305</v>
      </c>
      <c r="C1166" t="s">
        <v>23</v>
      </c>
      <c r="D1166" t="str" cm="1">
        <f t="array" ref="D1166">_xlfn.XLOOKUP(1,
    ('team lookup'!$C$3:$C$97 = B1166) * ('team lookup'!$A$3:$A$97 &lt;= A1166) * (IF('team lookup'!$B$3:$B$97 = "", 9999, 'team lookup'!$B$3:$B$97) &gt;= A1166),
    'team lookup'!$E$3:$E$97,
    "Other"
)</f>
        <v>Big12</v>
      </c>
      <c r="E1166">
        <f t="shared" si="36"/>
        <v>1</v>
      </c>
      <c r="F1166">
        <f t="shared" si="37"/>
        <v>1</v>
      </c>
    </row>
    <row r="1167" spans="1:6" x14ac:dyDescent="0.35">
      <c r="A1167">
        <v>2026</v>
      </c>
      <c r="B1167">
        <v>338</v>
      </c>
      <c r="C1167" t="s">
        <v>146</v>
      </c>
      <c r="D1167" t="str" cm="1">
        <f t="array" ref="D1167">_xlfn.XLOOKUP(1,
    ('team lookup'!$C$3:$C$97 = B1167) * ('team lookup'!$A$3:$A$97 &lt;= A1167) * (IF('team lookup'!$B$3:$B$97 = "", 9999, 'team lookup'!$B$3:$B$97) &gt;= A1167),
    'team lookup'!$E$3:$E$97,
    "Other"
)</f>
        <v>Other</v>
      </c>
      <c r="E1167">
        <f t="shared" si="36"/>
        <v>0</v>
      </c>
      <c r="F1167">
        <f t="shared" si="37"/>
        <v>0</v>
      </c>
    </row>
    <row r="1168" spans="1:6" x14ac:dyDescent="0.35">
      <c r="A1168">
        <v>2026</v>
      </c>
      <c r="B1168">
        <v>96</v>
      </c>
      <c r="C1168" t="s">
        <v>26</v>
      </c>
      <c r="D1168" t="str" cm="1">
        <f t="array" ref="D1168">_xlfn.XLOOKUP(1,
    ('team lookup'!$C$3:$C$97 = B1168) * ('team lookup'!$A$3:$A$97 &lt;= A1168) * (IF('team lookup'!$B$3:$B$97 = "", 9999, 'team lookup'!$B$3:$B$97) &gt;= A1168),
    'team lookup'!$E$3:$E$97,
    "Other"
)</f>
        <v>SEC</v>
      </c>
      <c r="E1168">
        <f t="shared" si="36"/>
        <v>1</v>
      </c>
      <c r="F1168">
        <f t="shared" si="37"/>
        <v>1</v>
      </c>
    </row>
    <row r="1169" spans="1:6" x14ac:dyDescent="0.35">
      <c r="A1169">
        <v>2026</v>
      </c>
      <c r="B1169">
        <v>2329</v>
      </c>
      <c r="C1169" t="s">
        <v>61</v>
      </c>
      <c r="D1169" t="str" cm="1">
        <f t="array" ref="D1169">_xlfn.XLOOKUP(1,
    ('team lookup'!$C$3:$C$97 = B1169) * ('team lookup'!$A$3:$A$97 &lt;= A1169) * (IF('team lookup'!$B$3:$B$97 = "", 9999, 'team lookup'!$B$3:$B$97) &gt;= A1169),
    'team lookup'!$E$3:$E$97,
    "Other"
)</f>
        <v>Other</v>
      </c>
      <c r="E1169">
        <f t="shared" si="36"/>
        <v>0</v>
      </c>
      <c r="F1169">
        <f t="shared" si="37"/>
        <v>0</v>
      </c>
    </row>
    <row r="1170" spans="1:6" x14ac:dyDescent="0.35">
      <c r="A1170">
        <v>2026</v>
      </c>
      <c r="B1170">
        <v>112358</v>
      </c>
      <c r="C1170" t="s">
        <v>74</v>
      </c>
      <c r="D1170" t="str" cm="1">
        <f t="array" ref="D1170">_xlfn.XLOOKUP(1,
    ('team lookup'!$C$3:$C$97 = B1170) * ('team lookup'!$A$3:$A$97 &lt;= A1170) * (IF('team lookup'!$B$3:$B$97 = "", 9999, 'team lookup'!$B$3:$B$97) &gt;= A1170),
    'team lookup'!$E$3:$E$97,
    "Other"
)</f>
        <v>Other</v>
      </c>
      <c r="E1170">
        <f t="shared" si="36"/>
        <v>0</v>
      </c>
      <c r="F1170">
        <f t="shared" si="37"/>
        <v>0</v>
      </c>
    </row>
    <row r="1171" spans="1:6" x14ac:dyDescent="0.35">
      <c r="A1171">
        <v>2026</v>
      </c>
      <c r="B1171">
        <v>97</v>
      </c>
      <c r="C1171" t="s">
        <v>27</v>
      </c>
      <c r="D1171" t="str" cm="1">
        <f t="array" ref="D1171">_xlfn.XLOOKUP(1,
    ('team lookup'!$C$3:$C$97 = B1171) * ('team lookup'!$A$3:$A$97 &lt;= A1171) * (IF('team lookup'!$B$3:$B$97 = "", 9999, 'team lookup'!$B$3:$B$97) &gt;= A1171),
    'team lookup'!$E$3:$E$97,
    "Other"
)</f>
        <v>ACC</v>
      </c>
      <c r="E1171">
        <f t="shared" si="36"/>
        <v>1</v>
      </c>
      <c r="F1171">
        <f t="shared" si="37"/>
        <v>1</v>
      </c>
    </row>
    <row r="1172" spans="1:6" x14ac:dyDescent="0.35">
      <c r="A1172">
        <v>2026</v>
      </c>
      <c r="B1172">
        <v>2377</v>
      </c>
      <c r="C1172" t="s">
        <v>149</v>
      </c>
      <c r="D1172" t="str" cm="1">
        <f t="array" ref="D1172">_xlfn.XLOOKUP(1,
    ('team lookup'!$C$3:$C$97 = B1172) * ('team lookup'!$A$3:$A$97 &lt;= A1172) * (IF('team lookup'!$B$3:$B$97 = "", 9999, 'team lookup'!$B$3:$B$97) &gt;= A1172),
    'team lookup'!$E$3:$E$97,
    "Other"
)</f>
        <v>Other</v>
      </c>
      <c r="E1172">
        <f t="shared" si="36"/>
        <v>0</v>
      </c>
      <c r="F1172">
        <f t="shared" si="37"/>
        <v>0</v>
      </c>
    </row>
    <row r="1173" spans="1:6" x14ac:dyDescent="0.35">
      <c r="A1173">
        <v>2026</v>
      </c>
      <c r="B1173">
        <v>2390</v>
      </c>
      <c r="C1173" t="s">
        <v>30</v>
      </c>
      <c r="D1173" t="str" cm="1">
        <f t="array" ref="D1173">_xlfn.XLOOKUP(1,
    ('team lookup'!$C$3:$C$97 = B1173) * ('team lookup'!$A$3:$A$97 &lt;= A1173) * (IF('team lookup'!$B$3:$B$97 = "", 9999, 'team lookup'!$B$3:$B$97) &gt;= A1173),
    'team lookup'!$E$3:$E$97,
    "Other"
)</f>
        <v>ACC</v>
      </c>
      <c r="E1173">
        <f t="shared" si="36"/>
        <v>1</v>
      </c>
      <c r="F1173">
        <f t="shared" si="37"/>
        <v>1</v>
      </c>
    </row>
    <row r="1174" spans="1:6" x14ac:dyDescent="0.35">
      <c r="A1174">
        <v>2026</v>
      </c>
      <c r="B1174">
        <v>193</v>
      </c>
      <c r="C1174" t="s">
        <v>275</v>
      </c>
      <c r="D1174" t="str" cm="1">
        <f t="array" ref="D1174">_xlfn.XLOOKUP(1,
    ('team lookup'!$C$3:$C$97 = B1174) * ('team lookup'!$A$3:$A$97 &lt;= A1174) * (IF('team lookup'!$B$3:$B$97 = "", 9999, 'team lookup'!$B$3:$B$97) &gt;= A1174),
    'team lookup'!$E$3:$E$97,
    "Other"
)</f>
        <v>Other</v>
      </c>
      <c r="E1174">
        <f t="shared" si="36"/>
        <v>0</v>
      </c>
      <c r="F1174">
        <f t="shared" si="37"/>
        <v>0</v>
      </c>
    </row>
    <row r="1175" spans="1:6" x14ac:dyDescent="0.35">
      <c r="A1175">
        <v>2026</v>
      </c>
      <c r="B1175">
        <v>130</v>
      </c>
      <c r="C1175" t="s">
        <v>52</v>
      </c>
      <c r="D1175" t="str" cm="1">
        <f t="array" ref="D1175">_xlfn.XLOOKUP(1,
    ('team lookup'!$C$3:$C$97 = B1175) * ('team lookup'!$A$3:$A$97 &lt;= A1175) * (IF('team lookup'!$B$3:$B$97 = "", 9999, 'team lookup'!$B$3:$B$97) &gt;= A1175),
    'team lookup'!$E$3:$E$97,
    "Other"
)</f>
        <v>Big Ten</v>
      </c>
      <c r="E1175">
        <f t="shared" si="36"/>
        <v>0</v>
      </c>
      <c r="F1175">
        <f t="shared" si="37"/>
        <v>1</v>
      </c>
    </row>
    <row r="1176" spans="1:6" x14ac:dyDescent="0.35">
      <c r="A1176">
        <v>2026</v>
      </c>
      <c r="B1176">
        <v>127</v>
      </c>
      <c r="C1176" t="s">
        <v>31</v>
      </c>
      <c r="D1176" t="str" cm="1">
        <f t="array" ref="D1176">_xlfn.XLOOKUP(1,
    ('team lookup'!$C$3:$C$97 = B1176) * ('team lookup'!$A$3:$A$97 &lt;= A1176) * (IF('team lookup'!$B$3:$B$97 = "", 9999, 'team lookup'!$B$3:$B$97) &gt;= A1176),
    'team lookup'!$E$3:$E$97,
    "Other"
)</f>
        <v>Big Ten</v>
      </c>
      <c r="E1176">
        <f t="shared" si="36"/>
        <v>0</v>
      </c>
      <c r="F1176">
        <f t="shared" si="37"/>
        <v>1</v>
      </c>
    </row>
    <row r="1177" spans="1:6" x14ac:dyDescent="0.35">
      <c r="A1177">
        <v>2026</v>
      </c>
      <c r="B1177">
        <v>142</v>
      </c>
      <c r="C1177" t="s">
        <v>54</v>
      </c>
      <c r="D1177" t="str" cm="1">
        <f t="array" ref="D1177">_xlfn.XLOOKUP(1,
    ('team lookup'!$C$3:$C$97 = B1177) * ('team lookup'!$A$3:$A$97 &lt;= A1177) * (IF('team lookup'!$B$3:$B$97 = "", 9999, 'team lookup'!$B$3:$B$97) &gt;= A1177),
    'team lookup'!$E$3:$E$97,
    "Other"
)</f>
        <v>SEC</v>
      </c>
      <c r="E1177">
        <f t="shared" si="36"/>
        <v>1</v>
      </c>
      <c r="F1177">
        <f t="shared" si="37"/>
        <v>1</v>
      </c>
    </row>
    <row r="1178" spans="1:6" x14ac:dyDescent="0.35">
      <c r="A1178">
        <v>2026</v>
      </c>
      <c r="B1178">
        <v>2449</v>
      </c>
      <c r="C1178" t="s">
        <v>106</v>
      </c>
      <c r="D1178" t="str" cm="1">
        <f t="array" ref="D1178">_xlfn.XLOOKUP(1,
    ('team lookup'!$C$3:$C$97 = B1178) * ('team lookup'!$A$3:$A$97 &lt;= A1178) * (IF('team lookup'!$B$3:$B$97 = "", 9999, 'team lookup'!$B$3:$B$97) &gt;= A1178),
    'team lookup'!$E$3:$E$97,
    "Other"
)</f>
        <v>Other</v>
      </c>
      <c r="E1178">
        <f t="shared" si="36"/>
        <v>0</v>
      </c>
      <c r="F1178">
        <f t="shared" si="37"/>
        <v>0</v>
      </c>
    </row>
    <row r="1179" spans="1:6" x14ac:dyDescent="0.35">
      <c r="A1179">
        <v>2026</v>
      </c>
      <c r="B1179">
        <v>152</v>
      </c>
      <c r="C1179" t="s">
        <v>90</v>
      </c>
      <c r="D1179" t="str" cm="1">
        <f t="array" ref="D1179">_xlfn.XLOOKUP(1,
    ('team lookup'!$C$3:$C$97 = B1179) * ('team lookup'!$A$3:$A$97 &lt;= A1179) * (IF('team lookup'!$B$3:$B$97 = "", 9999, 'team lookup'!$B$3:$B$97) &gt;= A1179),
    'team lookup'!$E$3:$E$97,
    "Other"
)</f>
        <v>ACC</v>
      </c>
      <c r="E1179">
        <f t="shared" si="36"/>
        <v>1</v>
      </c>
      <c r="F1179">
        <f t="shared" si="37"/>
        <v>1</v>
      </c>
    </row>
    <row r="1180" spans="1:6" x14ac:dyDescent="0.35">
      <c r="A1180">
        <v>2026</v>
      </c>
      <c r="B1180">
        <v>158</v>
      </c>
      <c r="C1180" t="s">
        <v>108</v>
      </c>
      <c r="D1180" t="str" cm="1">
        <f t="array" ref="D1180">_xlfn.XLOOKUP(1,
    ('team lookup'!$C$3:$C$97 = B1180) * ('team lookup'!$A$3:$A$97 &lt;= A1180) * (IF('team lookup'!$B$3:$B$97 = "", 9999, 'team lookup'!$B$3:$B$97) &gt;= A1180),
    'team lookup'!$E$3:$E$97,
    "Other"
)</f>
        <v>Big Ten</v>
      </c>
      <c r="E1180">
        <f t="shared" si="36"/>
        <v>0</v>
      </c>
      <c r="F1180">
        <f t="shared" si="37"/>
        <v>1</v>
      </c>
    </row>
    <row r="1181" spans="1:6" x14ac:dyDescent="0.35">
      <c r="A1181">
        <v>2026</v>
      </c>
      <c r="B1181">
        <v>153</v>
      </c>
      <c r="C1181" t="s">
        <v>35</v>
      </c>
      <c r="D1181" t="str" cm="1">
        <f t="array" ref="D1181">_xlfn.XLOOKUP(1,
    ('team lookup'!$C$3:$C$97 = B1181) * ('team lookup'!$A$3:$A$97 &lt;= A1181) * (IF('team lookup'!$B$3:$B$97 = "", 9999, 'team lookup'!$B$3:$B$97) &gt;= A1181),
    'team lookup'!$E$3:$E$97,
    "Other"
)</f>
        <v>ACC</v>
      </c>
      <c r="E1181">
        <f t="shared" si="36"/>
        <v>1</v>
      </c>
      <c r="F1181">
        <f t="shared" si="37"/>
        <v>1</v>
      </c>
    </row>
    <row r="1182" spans="1:6" x14ac:dyDescent="0.35">
      <c r="A1182">
        <v>2026</v>
      </c>
      <c r="B1182">
        <v>2460</v>
      </c>
      <c r="C1182" t="s">
        <v>67</v>
      </c>
      <c r="D1182" t="str" cm="1">
        <f t="array" ref="D1182">_xlfn.XLOOKUP(1,
    ('team lookup'!$C$3:$C$97 = B1182) * ('team lookup'!$A$3:$A$97 &lt;= A1182) * (IF('team lookup'!$B$3:$B$97 = "", 9999, 'team lookup'!$B$3:$B$97) &gt;= A1182),
    'team lookup'!$E$3:$E$97,
    "Other"
)</f>
        <v>Other</v>
      </c>
      <c r="E1182">
        <f t="shared" si="36"/>
        <v>0</v>
      </c>
      <c r="F1182">
        <f t="shared" si="37"/>
        <v>0</v>
      </c>
    </row>
    <row r="1183" spans="1:6" x14ac:dyDescent="0.35">
      <c r="A1183">
        <v>2026</v>
      </c>
      <c r="B1183">
        <v>194</v>
      </c>
      <c r="C1183" t="s">
        <v>77</v>
      </c>
      <c r="D1183" t="str" cm="1">
        <f t="array" ref="D1183">_xlfn.XLOOKUP(1,
    ('team lookup'!$C$3:$C$97 = B1183) * ('team lookup'!$A$3:$A$97 &lt;= A1183) * (IF('team lookup'!$B$3:$B$97 = "", 9999, 'team lookup'!$B$3:$B$97) &gt;= A1183),
    'team lookup'!$E$3:$E$97,
    "Other"
)</f>
        <v>Big Ten</v>
      </c>
      <c r="E1183">
        <f t="shared" si="36"/>
        <v>0</v>
      </c>
      <c r="F1183">
        <f t="shared" si="37"/>
        <v>1</v>
      </c>
    </row>
    <row r="1184" spans="1:6" x14ac:dyDescent="0.35">
      <c r="A1184">
        <v>2026</v>
      </c>
      <c r="B1184">
        <v>219</v>
      </c>
      <c r="C1184" t="s">
        <v>240</v>
      </c>
      <c r="D1184" t="str" cm="1">
        <f t="array" ref="D1184">_xlfn.XLOOKUP(1,
    ('team lookup'!$C$3:$C$97 = B1184) * ('team lookup'!$A$3:$A$97 &lt;= A1184) * (IF('team lookup'!$B$3:$B$97 = "", 9999, 'team lookup'!$B$3:$B$97) &gt;= A1184),
    'team lookup'!$E$3:$E$97,
    "Other"
)</f>
        <v>Other</v>
      </c>
      <c r="E1184">
        <f t="shared" si="36"/>
        <v>0</v>
      </c>
      <c r="F1184">
        <f t="shared" si="37"/>
        <v>0</v>
      </c>
    </row>
    <row r="1185" spans="1:6" x14ac:dyDescent="0.35">
      <c r="A1185">
        <v>2026</v>
      </c>
      <c r="B1185">
        <v>2504</v>
      </c>
      <c r="C1185" t="s">
        <v>244</v>
      </c>
      <c r="D1185" t="str" cm="1">
        <f t="array" ref="D1185">_xlfn.XLOOKUP(1,
    ('team lookup'!$C$3:$C$97 = B1185) * ('team lookup'!$A$3:$A$97 &lt;= A1185) * (IF('team lookup'!$B$3:$B$97 = "", 9999, 'team lookup'!$B$3:$B$97) &gt;= A1185),
    'team lookup'!$E$3:$E$97,
    "Other"
)</f>
        <v>Other</v>
      </c>
      <c r="E1185">
        <f t="shared" si="36"/>
        <v>0</v>
      </c>
      <c r="F1185">
        <f t="shared" si="37"/>
        <v>0</v>
      </c>
    </row>
    <row r="1186" spans="1:6" x14ac:dyDescent="0.35">
      <c r="A1186">
        <v>2026</v>
      </c>
      <c r="B1186">
        <v>2509</v>
      </c>
      <c r="C1186" t="s">
        <v>154</v>
      </c>
      <c r="D1186" t="str" cm="1">
        <f t="array" ref="D1186">_xlfn.XLOOKUP(1,
    ('team lookup'!$C$3:$C$97 = B1186) * ('team lookup'!$A$3:$A$97 &lt;= A1186) * (IF('team lookup'!$B$3:$B$97 = "", 9999, 'team lookup'!$B$3:$B$97) &gt;= A1186),
    'team lookup'!$E$3:$E$97,
    "Other"
)</f>
        <v>Big Ten</v>
      </c>
      <c r="E1186">
        <f t="shared" si="36"/>
        <v>0</v>
      </c>
      <c r="F1186">
        <f t="shared" si="37"/>
        <v>1</v>
      </c>
    </row>
    <row r="1187" spans="1:6" x14ac:dyDescent="0.35">
      <c r="A1187">
        <v>2026</v>
      </c>
      <c r="B1187">
        <v>2511</v>
      </c>
      <c r="C1187" t="s">
        <v>276</v>
      </c>
      <c r="D1187" t="str" cm="1">
        <f t="array" ref="D1187">_xlfn.XLOOKUP(1,
    ('team lookup'!$C$3:$C$97 = B1187) * ('team lookup'!$A$3:$A$97 &lt;= A1187) * (IF('team lookup'!$B$3:$B$97 = "", 9999, 'team lookup'!$B$3:$B$97) &gt;= A1187),
    'team lookup'!$E$3:$E$97,
    "Other"
)</f>
        <v>Other</v>
      </c>
      <c r="E1187">
        <f t="shared" si="36"/>
        <v>0</v>
      </c>
      <c r="F1187">
        <f t="shared" si="37"/>
        <v>0</v>
      </c>
    </row>
    <row r="1188" spans="1:6" x14ac:dyDescent="0.35">
      <c r="A1188">
        <v>2026</v>
      </c>
      <c r="B1188">
        <v>139</v>
      </c>
      <c r="C1188" t="s">
        <v>205</v>
      </c>
      <c r="D1188" t="str" cm="1">
        <f t="array" ref="D1188">_xlfn.XLOOKUP(1,
    ('team lookup'!$C$3:$C$97 = B1188) * ('team lookup'!$A$3:$A$97 &lt;= A1188) * (IF('team lookup'!$B$3:$B$97 = "", 9999, 'team lookup'!$B$3:$B$97) &gt;= A1188),
    'team lookup'!$E$3:$E$97,
    "Other"
)</f>
        <v>Other</v>
      </c>
      <c r="E1188">
        <f t="shared" si="36"/>
        <v>0</v>
      </c>
      <c r="F1188">
        <f t="shared" si="37"/>
        <v>0</v>
      </c>
    </row>
    <row r="1189" spans="1:6" x14ac:dyDescent="0.35">
      <c r="A1189">
        <v>2026</v>
      </c>
      <c r="B1189">
        <v>2608</v>
      </c>
      <c r="C1189" t="s">
        <v>156</v>
      </c>
      <c r="D1189" t="str" cm="1">
        <f t="array" ref="D1189">_xlfn.XLOOKUP(1,
    ('team lookup'!$C$3:$C$97 = B1189) * ('team lookup'!$A$3:$A$97 &lt;= A1189) * (IF('team lookup'!$B$3:$B$97 = "", 9999, 'team lookup'!$B$3:$B$97) &gt;= A1189),
    'team lookup'!$E$3:$E$97,
    "Other"
)</f>
        <v>Other</v>
      </c>
      <c r="E1189">
        <f t="shared" si="36"/>
        <v>0</v>
      </c>
      <c r="F1189">
        <f t="shared" si="37"/>
        <v>0</v>
      </c>
    </row>
    <row r="1190" spans="1:6" x14ac:dyDescent="0.35">
      <c r="A1190">
        <v>2026</v>
      </c>
      <c r="B1190">
        <v>2541</v>
      </c>
      <c r="C1190" t="s">
        <v>277</v>
      </c>
      <c r="D1190" t="str" cm="1">
        <f t="array" ref="D1190">_xlfn.XLOOKUP(1,
    ('team lookup'!$C$3:$C$97 = B1190) * ('team lookup'!$A$3:$A$97 &lt;= A1190) * (IF('team lookup'!$B$3:$B$97 = "", 9999, 'team lookup'!$B$3:$B$97) &gt;= A1190),
    'team lookup'!$E$3:$E$97,
    "Other"
)</f>
        <v>Other</v>
      </c>
      <c r="E1190">
        <f t="shared" si="36"/>
        <v>0</v>
      </c>
      <c r="F1190">
        <f t="shared" si="37"/>
        <v>0</v>
      </c>
    </row>
    <row r="1191" spans="1:6" x14ac:dyDescent="0.35">
      <c r="A1191">
        <v>2026</v>
      </c>
      <c r="B1191">
        <v>2561</v>
      </c>
      <c r="C1191" t="s">
        <v>158</v>
      </c>
      <c r="D1191" t="str" cm="1">
        <f t="array" ref="D1191">_xlfn.XLOOKUP(1,
    ('team lookup'!$C$3:$C$97 = B1191) * ('team lookup'!$A$3:$A$97 &lt;= A1191) * (IF('team lookup'!$B$3:$B$97 = "", 9999, 'team lookup'!$B$3:$B$97) &gt;= A1191),
    'team lookup'!$E$3:$E$97,
    "Other"
)</f>
        <v>Other</v>
      </c>
      <c r="E1191">
        <f t="shared" si="36"/>
        <v>0</v>
      </c>
      <c r="F1191">
        <f t="shared" si="37"/>
        <v>0</v>
      </c>
    </row>
    <row r="1192" spans="1:6" x14ac:dyDescent="0.35">
      <c r="A1192">
        <v>2026</v>
      </c>
      <c r="B1192">
        <v>2567</v>
      </c>
      <c r="C1192" t="s">
        <v>224</v>
      </c>
      <c r="D1192" t="str" cm="1">
        <f t="array" ref="D1192">_xlfn.XLOOKUP(1,
    ('team lookup'!$C$3:$C$97 = B1192) * ('team lookup'!$A$3:$A$97 &lt;= A1192) * (IF('team lookup'!$B$3:$B$97 = "", 9999, 'team lookup'!$B$3:$B$97) &gt;= A1192),
    'team lookup'!$E$3:$E$97,
    "Other"
)</f>
        <v>ACC</v>
      </c>
      <c r="E1192">
        <f t="shared" si="36"/>
        <v>1</v>
      </c>
      <c r="F1192">
        <f t="shared" si="37"/>
        <v>1</v>
      </c>
    </row>
    <row r="1193" spans="1:6" x14ac:dyDescent="0.35">
      <c r="A1193">
        <v>2026</v>
      </c>
      <c r="B1193">
        <v>58</v>
      </c>
      <c r="C1193" t="s">
        <v>206</v>
      </c>
      <c r="D1193" t="str" cm="1">
        <f t="array" ref="D1193">_xlfn.XLOOKUP(1,
    ('team lookup'!$C$3:$C$97 = B1193) * ('team lookup'!$A$3:$A$97 &lt;= A1193) * (IF('team lookup'!$B$3:$B$97 = "", 9999, 'team lookup'!$B$3:$B$97) &gt;= A1193),
    'team lookup'!$E$3:$E$97,
    "Other"
)</f>
        <v>Other</v>
      </c>
      <c r="E1193">
        <f t="shared" si="36"/>
        <v>0</v>
      </c>
      <c r="F1193">
        <f t="shared" si="37"/>
        <v>0</v>
      </c>
    </row>
    <row r="1194" spans="1:6" x14ac:dyDescent="0.35">
      <c r="A1194">
        <v>2026</v>
      </c>
      <c r="B1194">
        <v>2599</v>
      </c>
      <c r="C1194" t="s">
        <v>200</v>
      </c>
      <c r="D1194" t="str" cm="1">
        <f t="array" ref="D1194">_xlfn.XLOOKUP(1,
    ('team lookup'!$C$3:$C$97 = B1194) * ('team lookup'!$A$3:$A$97 &lt;= A1194) * (IF('team lookup'!$B$3:$B$97 = "", 9999, 'team lookup'!$B$3:$B$97) &gt;= A1194),
    'team lookup'!$E$3:$E$97,
    "Other"
)</f>
        <v>Big East</v>
      </c>
      <c r="E1194">
        <f t="shared" si="36"/>
        <v>0</v>
      </c>
      <c r="F1194">
        <f t="shared" si="37"/>
        <v>1</v>
      </c>
    </row>
    <row r="1195" spans="1:6" x14ac:dyDescent="0.35">
      <c r="A1195">
        <v>2026</v>
      </c>
      <c r="B1195">
        <v>2628</v>
      </c>
      <c r="C1195" t="s">
        <v>241</v>
      </c>
      <c r="D1195" t="str" cm="1">
        <f t="array" ref="D1195">_xlfn.XLOOKUP(1,
    ('team lookup'!$C$3:$C$97 = B1195) * ('team lookup'!$A$3:$A$97 &lt;= A1195) * (IF('team lookup'!$B$3:$B$97 = "", 9999, 'team lookup'!$B$3:$B$97) &gt;= A1195),
    'team lookup'!$E$3:$E$97,
    "Other"
)</f>
        <v>Big12</v>
      </c>
      <c r="E1195">
        <f t="shared" si="36"/>
        <v>1</v>
      </c>
      <c r="F1195">
        <f t="shared" si="37"/>
        <v>1</v>
      </c>
    </row>
    <row r="1196" spans="1:6" x14ac:dyDescent="0.35">
      <c r="A1196">
        <v>2026</v>
      </c>
      <c r="B1196">
        <v>2633</v>
      </c>
      <c r="C1196" t="s">
        <v>162</v>
      </c>
      <c r="D1196" t="str" cm="1">
        <f t="array" ref="D1196">_xlfn.XLOOKUP(1,
    ('team lookup'!$C$3:$C$97 = B1196) * ('team lookup'!$A$3:$A$97 &lt;= A1196) * (IF('team lookup'!$B$3:$B$97 = "", 9999, 'team lookup'!$B$3:$B$97) &gt;= A1196),
    'team lookup'!$E$3:$E$97,
    "Other"
)</f>
        <v>SEC</v>
      </c>
      <c r="E1196">
        <f t="shared" si="36"/>
        <v>1</v>
      </c>
      <c r="F1196">
        <f t="shared" si="37"/>
        <v>1</v>
      </c>
    </row>
    <row r="1197" spans="1:6" x14ac:dyDescent="0.35">
      <c r="A1197">
        <v>2026</v>
      </c>
      <c r="B1197">
        <v>2634</v>
      </c>
      <c r="C1197" t="s">
        <v>278</v>
      </c>
      <c r="D1197" t="str" cm="1">
        <f t="array" ref="D1197">_xlfn.XLOOKUP(1,
    ('team lookup'!$C$3:$C$97 = B1197) * ('team lookup'!$A$3:$A$97 &lt;= A1197) * (IF('team lookup'!$B$3:$B$97 = "", 9999, 'team lookup'!$B$3:$B$97) &gt;= A1197),
    'team lookup'!$E$3:$E$97,
    "Other"
)</f>
        <v>Other</v>
      </c>
      <c r="E1197">
        <f t="shared" si="36"/>
        <v>0</v>
      </c>
      <c r="F1197">
        <f t="shared" si="37"/>
        <v>0</v>
      </c>
    </row>
    <row r="1198" spans="1:6" x14ac:dyDescent="0.35">
      <c r="A1198">
        <v>2026</v>
      </c>
      <c r="B1198">
        <v>251</v>
      </c>
      <c r="C1198" t="s">
        <v>163</v>
      </c>
      <c r="D1198" t="str" cm="1">
        <f t="array" ref="D1198">_xlfn.XLOOKUP(1,
    ('team lookup'!$C$3:$C$97 = B1198) * ('team lookup'!$A$3:$A$97 &lt;= A1198) * (IF('team lookup'!$B$3:$B$97 = "", 9999, 'team lookup'!$B$3:$B$97) &gt;= A1198),
    'team lookup'!$E$3:$E$97,
    "Other"
)</f>
        <v>SEC</v>
      </c>
      <c r="E1198">
        <f t="shared" si="36"/>
        <v>1</v>
      </c>
      <c r="F1198">
        <f t="shared" si="37"/>
        <v>1</v>
      </c>
    </row>
    <row r="1199" spans="1:6" x14ac:dyDescent="0.35">
      <c r="A1199">
        <v>2026</v>
      </c>
      <c r="B1199">
        <v>245</v>
      </c>
      <c r="C1199" t="s">
        <v>164</v>
      </c>
      <c r="D1199" t="str" cm="1">
        <f t="array" ref="D1199">_xlfn.XLOOKUP(1,
    ('team lookup'!$C$3:$C$97 = B1199) * ('team lookup'!$A$3:$A$97 &lt;= A1199) * (IF('team lookup'!$B$3:$B$97 = "", 9999, 'team lookup'!$B$3:$B$97) &gt;= A1199),
    'team lookup'!$E$3:$E$97,
    "Other"
)</f>
        <v>SEC</v>
      </c>
      <c r="E1199">
        <f t="shared" si="36"/>
        <v>1</v>
      </c>
      <c r="F1199">
        <f t="shared" si="37"/>
        <v>1</v>
      </c>
    </row>
    <row r="1200" spans="1:6" x14ac:dyDescent="0.35">
      <c r="A1200">
        <v>2026</v>
      </c>
      <c r="B1200">
        <v>2641</v>
      </c>
      <c r="C1200" t="s">
        <v>230</v>
      </c>
      <c r="D1200" t="str" cm="1">
        <f t="array" ref="D1200">_xlfn.XLOOKUP(1,
    ('team lookup'!$C$3:$C$97 = B1200) * ('team lookup'!$A$3:$A$97 &lt;= A1200) * (IF('team lookup'!$B$3:$B$97 = "", 9999, 'team lookup'!$B$3:$B$97) &gt;= A1200),
    'team lookup'!$E$3:$E$97,
    "Other"
)</f>
        <v>Big12</v>
      </c>
      <c r="E1200">
        <f t="shared" si="36"/>
        <v>1</v>
      </c>
      <c r="F1200">
        <f t="shared" si="37"/>
        <v>1</v>
      </c>
    </row>
    <row r="1201" spans="1:6" x14ac:dyDescent="0.35">
      <c r="A1201">
        <v>2026</v>
      </c>
      <c r="B1201">
        <v>2653</v>
      </c>
      <c r="C1201" t="s">
        <v>237</v>
      </c>
      <c r="D1201" t="str" cm="1">
        <f t="array" ref="D1201">_xlfn.XLOOKUP(1,
    ('team lookup'!$C$3:$C$97 = B1201) * ('team lookup'!$A$3:$A$97 &lt;= A1201) * (IF('team lookup'!$B$3:$B$97 = "", 9999, 'team lookup'!$B$3:$B$97) &gt;= A1201),
    'team lookup'!$E$3:$E$97,
    "Other"
)</f>
        <v>Other</v>
      </c>
      <c r="E1201">
        <f t="shared" si="36"/>
        <v>0</v>
      </c>
      <c r="F1201">
        <f t="shared" si="37"/>
        <v>0</v>
      </c>
    </row>
    <row r="1202" spans="1:6" x14ac:dyDescent="0.35">
      <c r="A1202">
        <v>2026</v>
      </c>
      <c r="B1202">
        <v>2116</v>
      </c>
      <c r="C1202" t="s">
        <v>245</v>
      </c>
      <c r="D1202" t="str" cm="1">
        <f t="array" ref="D1202">_xlfn.XLOOKUP(1,
    ('team lookup'!$C$3:$C$97 = B1202) * ('team lookup'!$A$3:$A$97 &lt;= A1202) * (IF('team lookup'!$B$3:$B$97 = "", 9999, 'team lookup'!$B$3:$B$97) &gt;= A1202),
    'team lookup'!$E$3:$E$97,
    "Other"
)</f>
        <v>Big12</v>
      </c>
      <c r="E1202">
        <f t="shared" si="36"/>
        <v>1</v>
      </c>
      <c r="F1202">
        <f t="shared" si="37"/>
        <v>1</v>
      </c>
    </row>
    <row r="1203" spans="1:6" x14ac:dyDescent="0.35">
      <c r="A1203">
        <v>2026</v>
      </c>
      <c r="B1203">
        <v>26</v>
      </c>
      <c r="C1203" t="s">
        <v>165</v>
      </c>
      <c r="D1203" t="str" cm="1">
        <f t="array" ref="D1203">_xlfn.XLOOKUP(1,
    ('team lookup'!$C$3:$C$97 = B1203) * ('team lookup'!$A$3:$A$97 &lt;= A1203) * (IF('team lookup'!$B$3:$B$97 = "", 9999, 'team lookup'!$B$3:$B$97) &gt;= A1203),
    'team lookup'!$E$3:$E$97,
    "Other"
)</f>
        <v>Big Ten</v>
      </c>
      <c r="E1203">
        <f t="shared" si="36"/>
        <v>0</v>
      </c>
      <c r="F1203">
        <f t="shared" si="37"/>
        <v>1</v>
      </c>
    </row>
    <row r="1204" spans="1:6" x14ac:dyDescent="0.35">
      <c r="A1204">
        <v>2026</v>
      </c>
      <c r="B1204">
        <v>41</v>
      </c>
      <c r="C1204" t="s">
        <v>166</v>
      </c>
      <c r="D1204" t="str" cm="1">
        <f t="array" ref="D1204">_xlfn.XLOOKUP(1,
    ('team lookup'!$C$3:$C$97 = B1204) * ('team lookup'!$A$3:$A$97 &lt;= A1204) * (IF('team lookup'!$B$3:$B$97 = "", 9999, 'team lookup'!$B$3:$B$97) &gt;= A1204),
    'team lookup'!$E$3:$E$97,
    "Other"
)</f>
        <v>Big East</v>
      </c>
      <c r="E1204">
        <f t="shared" si="36"/>
        <v>0</v>
      </c>
      <c r="F1204">
        <f t="shared" si="37"/>
        <v>1</v>
      </c>
    </row>
    <row r="1205" spans="1:6" x14ac:dyDescent="0.35">
      <c r="A1205">
        <v>2026</v>
      </c>
      <c r="B1205">
        <v>2378</v>
      </c>
      <c r="C1205" t="s">
        <v>167</v>
      </c>
      <c r="D1205" t="str" cm="1">
        <f t="array" ref="D1205">_xlfn.XLOOKUP(1,
    ('team lookup'!$C$3:$C$97 = B1205) * ('team lookup'!$A$3:$A$97 &lt;= A1205) * (IF('team lookup'!$B$3:$B$97 = "", 9999, 'team lookup'!$B$3:$B$97) &gt;= A1205),
    'team lookup'!$E$3:$E$97,
    "Other"
)</f>
        <v>Other</v>
      </c>
      <c r="E1205">
        <f t="shared" si="36"/>
        <v>0</v>
      </c>
      <c r="F1205">
        <f t="shared" si="37"/>
        <v>0</v>
      </c>
    </row>
    <row r="1206" spans="1:6" x14ac:dyDescent="0.35">
      <c r="A1206">
        <v>2026</v>
      </c>
      <c r="B1206">
        <v>328</v>
      </c>
      <c r="C1206" t="s">
        <v>185</v>
      </c>
      <c r="D1206" t="str" cm="1">
        <f t="array" ref="D1206">_xlfn.XLOOKUP(1,
    ('team lookup'!$C$3:$C$97 = B1206) * ('team lookup'!$A$3:$A$97 &lt;= A1206) * (IF('team lookup'!$B$3:$B$97 = "", 9999, 'team lookup'!$B$3:$B$97) &gt;= A1206),
    'team lookup'!$E$3:$E$97,
    "Other"
)</f>
        <v>Other</v>
      </c>
      <c r="E1206">
        <f t="shared" si="36"/>
        <v>0</v>
      </c>
      <c r="F1206">
        <f t="shared" si="37"/>
        <v>0</v>
      </c>
    </row>
    <row r="1207" spans="1:6" x14ac:dyDescent="0.35">
      <c r="A1207">
        <v>2026</v>
      </c>
      <c r="B1207">
        <v>238</v>
      </c>
      <c r="C1207" t="s">
        <v>171</v>
      </c>
      <c r="D1207" t="str" cm="1">
        <f t="array" ref="D1207">_xlfn.XLOOKUP(1,
    ('team lookup'!$C$3:$C$97 = B1207) * ('team lookup'!$A$3:$A$97 &lt;= A1207) * (IF('team lookup'!$B$3:$B$97 = "", 9999, 'team lookup'!$B$3:$B$97) &gt;= A1207),
    'team lookup'!$E$3:$E$97,
    "Other"
)</f>
        <v>SEC</v>
      </c>
      <c r="E1207">
        <f t="shared" si="36"/>
        <v>1</v>
      </c>
      <c r="F1207">
        <f t="shared" si="37"/>
        <v>1</v>
      </c>
    </row>
    <row r="1208" spans="1:6" x14ac:dyDescent="0.35">
      <c r="A1208">
        <v>2026</v>
      </c>
      <c r="B1208">
        <v>2670</v>
      </c>
      <c r="C1208" t="s">
        <v>186</v>
      </c>
      <c r="D1208" t="str" cm="1">
        <f t="array" ref="D1208">_xlfn.XLOOKUP(1,
    ('team lookup'!$C$3:$C$97 = B1208) * ('team lookup'!$A$3:$A$97 &lt;= A1208) * (IF('team lookup'!$B$3:$B$97 = "", 9999, 'team lookup'!$B$3:$B$97) &gt;= A1208),
    'team lookup'!$E$3:$E$97,
    "Other"
)</f>
        <v>Other</v>
      </c>
      <c r="E1208">
        <f t="shared" si="36"/>
        <v>0</v>
      </c>
      <c r="F1208">
        <f t="shared" si="37"/>
        <v>0</v>
      </c>
    </row>
    <row r="1209" spans="1:6" x14ac:dyDescent="0.35">
      <c r="A1209">
        <v>2026</v>
      </c>
      <c r="B1209">
        <v>222</v>
      </c>
      <c r="C1209" t="s">
        <v>172</v>
      </c>
      <c r="D1209" t="str" cm="1">
        <f t="array" ref="D1209">_xlfn.XLOOKUP(1,
    ('team lookup'!$C$3:$C$97 = B1209) * ('team lookup'!$A$3:$A$97 &lt;= A1209) * (IF('team lookup'!$B$3:$B$97 = "", 9999, 'team lookup'!$B$3:$B$97) &gt;= A1209),
    'team lookup'!$E$3:$E$97,
    "Other"
)</f>
        <v>Big East</v>
      </c>
      <c r="E1209">
        <f t="shared" ref="E1209:E1212" si="38">IF(OR(D1209="ACC", D1209="SEC", D1209="Big12"), 1,0)</f>
        <v>0</v>
      </c>
      <c r="F1209">
        <f t="shared" ref="F1209:F1212" si="39">IF(D1209&lt;&gt;"Other", 1,0)</f>
        <v>1</v>
      </c>
    </row>
    <row r="1210" spans="1:6" x14ac:dyDescent="0.35">
      <c r="A1210">
        <v>2026</v>
      </c>
      <c r="B1210">
        <v>258</v>
      </c>
      <c r="C1210" t="s">
        <v>209</v>
      </c>
      <c r="D1210" t="str" cm="1">
        <f t="array" ref="D1210">_xlfn.XLOOKUP(1,
    ('team lookup'!$C$3:$C$97 = B1210) * ('team lookup'!$A$3:$A$97 &lt;= A1210) * (IF('team lookup'!$B$3:$B$97 = "", 9999, 'team lookup'!$B$3:$B$97) &gt;= A1210),
    'team lookup'!$E$3:$E$97,
    "Other"
)</f>
        <v>ACC</v>
      </c>
      <c r="E1210">
        <f t="shared" si="38"/>
        <v>1</v>
      </c>
      <c r="F1210">
        <f t="shared" si="39"/>
        <v>1</v>
      </c>
    </row>
    <row r="1211" spans="1:6" x14ac:dyDescent="0.35">
      <c r="A1211">
        <v>2026</v>
      </c>
      <c r="B1211">
        <v>275</v>
      </c>
      <c r="C1211" t="s">
        <v>177</v>
      </c>
      <c r="D1211" t="str" cm="1">
        <f t="array" ref="D1211">_xlfn.XLOOKUP(1,
    ('team lookup'!$C$3:$C$97 = B1211) * ('team lookup'!$A$3:$A$97 &lt;= A1211) * (IF('team lookup'!$B$3:$B$97 = "", 9999, 'team lookup'!$B$3:$B$97) &gt;= A1211),
    'team lookup'!$E$3:$E$97,
    "Other"
)</f>
        <v>Big Ten</v>
      </c>
      <c r="E1211">
        <f t="shared" si="38"/>
        <v>0</v>
      </c>
      <c r="F1211">
        <f t="shared" si="39"/>
        <v>1</v>
      </c>
    </row>
    <row r="1212" spans="1:6" x14ac:dyDescent="0.35">
      <c r="A1212">
        <v>2026</v>
      </c>
      <c r="B1212">
        <v>2750</v>
      </c>
      <c r="C1212" t="s">
        <v>243</v>
      </c>
      <c r="D1212" t="str" cm="1">
        <f t="array" ref="D1212">_xlfn.XLOOKUP(1,
    ('team lookup'!$C$3:$C$97 = B1212) * ('team lookup'!$A$3:$A$97 &lt;= A1212) * (IF('team lookup'!$B$3:$B$97 = "", 9999, 'team lookup'!$B$3:$B$97) &gt;= A1212),
    'team lookup'!$E$3:$E$97,
    "Other"
)</f>
        <v>Other</v>
      </c>
      <c r="E1212">
        <f t="shared" si="38"/>
        <v>0</v>
      </c>
      <c r="F1212">
        <f t="shared" si="3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8955-BFE2-4FCD-A048-BEBBF490E49E}">
  <dimension ref="A1:E97"/>
  <sheetViews>
    <sheetView workbookViewId="0"/>
  </sheetViews>
  <sheetFormatPr defaultRowHeight="14.5" x14ac:dyDescent="0.35"/>
  <cols>
    <col min="1" max="1" width="11.26953125" bestFit="1" customWidth="1"/>
    <col min="2" max="2" width="10.453125" bestFit="1" customWidth="1"/>
    <col min="3" max="3" width="10.36328125" bestFit="1" customWidth="1"/>
    <col min="4" max="4" width="13" bestFit="1" customWidth="1"/>
  </cols>
  <sheetData>
    <row r="1" spans="1:5" x14ac:dyDescent="0.35">
      <c r="A1" s="1" t="s">
        <v>262</v>
      </c>
    </row>
    <row r="2" spans="1:5" x14ac:dyDescent="0.35">
      <c r="A2" t="s">
        <v>264</v>
      </c>
      <c r="B2" t="s">
        <v>265</v>
      </c>
      <c r="C2" t="s">
        <v>1</v>
      </c>
      <c r="D2" t="s">
        <v>2</v>
      </c>
      <c r="E2" t="s">
        <v>261</v>
      </c>
    </row>
    <row r="3" spans="1:5" x14ac:dyDescent="0.35">
      <c r="A3">
        <v>2008</v>
      </c>
      <c r="C3">
        <v>52</v>
      </c>
      <c r="D3" t="s">
        <v>48</v>
      </c>
      <c r="E3" t="s">
        <v>263</v>
      </c>
    </row>
    <row r="4" spans="1:5" x14ac:dyDescent="0.35">
      <c r="A4">
        <v>2008</v>
      </c>
      <c r="C4">
        <v>103</v>
      </c>
      <c r="D4" t="s">
        <v>41</v>
      </c>
      <c r="E4" t="s">
        <v>263</v>
      </c>
    </row>
    <row r="5" spans="1:5" x14ac:dyDescent="0.35">
      <c r="A5">
        <v>2008</v>
      </c>
      <c r="B5">
        <v>2014</v>
      </c>
      <c r="C5">
        <v>120</v>
      </c>
      <c r="D5" t="s">
        <v>51</v>
      </c>
      <c r="E5" t="s">
        <v>263</v>
      </c>
    </row>
    <row r="6" spans="1:5" x14ac:dyDescent="0.35">
      <c r="A6">
        <v>2008</v>
      </c>
      <c r="C6">
        <v>154</v>
      </c>
      <c r="D6" t="s">
        <v>187</v>
      </c>
      <c r="E6" t="s">
        <v>263</v>
      </c>
    </row>
    <row r="7" spans="1:5" x14ac:dyDescent="0.35">
      <c r="A7">
        <v>2008</v>
      </c>
      <c r="C7">
        <v>228</v>
      </c>
      <c r="D7" t="s">
        <v>12</v>
      </c>
      <c r="E7" t="s">
        <v>263</v>
      </c>
    </row>
    <row r="8" spans="1:5" x14ac:dyDescent="0.35">
      <c r="A8">
        <v>2008</v>
      </c>
      <c r="C8">
        <v>152</v>
      </c>
      <c r="D8" t="s">
        <v>90</v>
      </c>
      <c r="E8" t="s">
        <v>263</v>
      </c>
    </row>
    <row r="9" spans="1:5" x14ac:dyDescent="0.35">
      <c r="A9">
        <v>2008</v>
      </c>
      <c r="C9">
        <v>259</v>
      </c>
      <c r="D9" t="s">
        <v>239</v>
      </c>
      <c r="E9" t="s">
        <v>263</v>
      </c>
    </row>
    <row r="10" spans="1:5" x14ac:dyDescent="0.35">
      <c r="A10">
        <v>2008</v>
      </c>
      <c r="C10">
        <v>59</v>
      </c>
      <c r="D10" t="s">
        <v>59</v>
      </c>
      <c r="E10" t="s">
        <v>263</v>
      </c>
    </row>
    <row r="11" spans="1:5" x14ac:dyDescent="0.35">
      <c r="A11">
        <v>2008</v>
      </c>
      <c r="C11">
        <v>153</v>
      </c>
      <c r="D11" t="s">
        <v>35</v>
      </c>
      <c r="E11" t="s">
        <v>263</v>
      </c>
    </row>
    <row r="12" spans="1:5" x14ac:dyDescent="0.35">
      <c r="A12">
        <v>2008</v>
      </c>
      <c r="C12">
        <v>2390</v>
      </c>
      <c r="D12" t="s">
        <v>30</v>
      </c>
      <c r="E12" t="s">
        <v>263</v>
      </c>
    </row>
    <row r="13" spans="1:5" x14ac:dyDescent="0.35">
      <c r="A13">
        <v>2008</v>
      </c>
      <c r="C13">
        <v>258</v>
      </c>
      <c r="D13" t="s">
        <v>209</v>
      </c>
      <c r="E13" t="s">
        <v>263</v>
      </c>
    </row>
    <row r="14" spans="1:5" x14ac:dyDescent="0.35">
      <c r="A14">
        <v>2008</v>
      </c>
      <c r="C14">
        <v>150</v>
      </c>
      <c r="D14" t="s">
        <v>16</v>
      </c>
      <c r="E14" t="s">
        <v>263</v>
      </c>
    </row>
    <row r="15" spans="1:5" x14ac:dyDescent="0.35">
      <c r="A15">
        <v>2014</v>
      </c>
      <c r="C15">
        <v>221</v>
      </c>
      <c r="D15" t="s">
        <v>152</v>
      </c>
      <c r="E15" t="s">
        <v>263</v>
      </c>
    </row>
    <row r="16" spans="1:5" x14ac:dyDescent="0.35">
      <c r="A16">
        <v>2014</v>
      </c>
      <c r="C16">
        <v>183</v>
      </c>
      <c r="D16" t="s">
        <v>183</v>
      </c>
      <c r="E16" t="s">
        <v>263</v>
      </c>
    </row>
    <row r="17" spans="1:5" x14ac:dyDescent="0.35">
      <c r="A17">
        <v>2014</v>
      </c>
      <c r="C17">
        <v>87</v>
      </c>
      <c r="D17" t="s">
        <v>36</v>
      </c>
      <c r="E17" t="s">
        <v>263</v>
      </c>
    </row>
    <row r="18" spans="1:5" x14ac:dyDescent="0.35">
      <c r="A18">
        <v>2015</v>
      </c>
      <c r="C18">
        <v>97</v>
      </c>
      <c r="D18" t="s">
        <v>27</v>
      </c>
      <c r="E18" t="s">
        <v>263</v>
      </c>
    </row>
    <row r="19" spans="1:5" x14ac:dyDescent="0.35">
      <c r="A19">
        <v>2025</v>
      </c>
      <c r="C19">
        <v>2567</v>
      </c>
      <c r="D19" t="s">
        <v>224</v>
      </c>
      <c r="E19" t="s">
        <v>263</v>
      </c>
    </row>
    <row r="20" spans="1:5" x14ac:dyDescent="0.35">
      <c r="A20">
        <v>2025</v>
      </c>
      <c r="C20">
        <v>25</v>
      </c>
      <c r="D20" t="s">
        <v>42</v>
      </c>
      <c r="E20" t="s">
        <v>263</v>
      </c>
    </row>
    <row r="21" spans="1:5" x14ac:dyDescent="0.35">
      <c r="A21">
        <v>2025</v>
      </c>
      <c r="C21">
        <v>24</v>
      </c>
      <c r="D21" t="s">
        <v>160</v>
      </c>
      <c r="E21" t="s">
        <v>263</v>
      </c>
    </row>
    <row r="22" spans="1:5" x14ac:dyDescent="0.35">
      <c r="A22">
        <v>2008</v>
      </c>
      <c r="C22">
        <v>2633</v>
      </c>
      <c r="D22" t="s">
        <v>162</v>
      </c>
      <c r="E22" t="s">
        <v>266</v>
      </c>
    </row>
    <row r="23" spans="1:5" x14ac:dyDescent="0.35">
      <c r="A23">
        <v>2008</v>
      </c>
      <c r="C23">
        <v>96</v>
      </c>
      <c r="D23" t="s">
        <v>26</v>
      </c>
      <c r="E23" t="s">
        <v>266</v>
      </c>
    </row>
    <row r="24" spans="1:5" x14ac:dyDescent="0.35">
      <c r="A24">
        <v>2008</v>
      </c>
      <c r="C24">
        <v>238</v>
      </c>
      <c r="D24" t="s">
        <v>171</v>
      </c>
      <c r="E24" t="s">
        <v>266</v>
      </c>
    </row>
    <row r="25" spans="1:5" x14ac:dyDescent="0.35">
      <c r="A25">
        <v>2008</v>
      </c>
      <c r="C25">
        <v>57</v>
      </c>
      <c r="D25" t="s">
        <v>58</v>
      </c>
      <c r="E25" t="s">
        <v>266</v>
      </c>
    </row>
    <row r="26" spans="1:5" x14ac:dyDescent="0.35">
      <c r="A26">
        <v>2008</v>
      </c>
      <c r="C26">
        <v>2579</v>
      </c>
      <c r="D26" t="s">
        <v>236</v>
      </c>
      <c r="E26" t="s">
        <v>266</v>
      </c>
    </row>
    <row r="27" spans="1:5" x14ac:dyDescent="0.35">
      <c r="A27">
        <v>2008</v>
      </c>
      <c r="C27">
        <v>61</v>
      </c>
      <c r="D27" t="s">
        <v>20</v>
      </c>
      <c r="E27" t="s">
        <v>266</v>
      </c>
    </row>
    <row r="28" spans="1:5" x14ac:dyDescent="0.35">
      <c r="A28">
        <v>2008</v>
      </c>
      <c r="C28">
        <v>344</v>
      </c>
      <c r="D28" t="s">
        <v>33</v>
      </c>
      <c r="E28" t="s">
        <v>266</v>
      </c>
    </row>
    <row r="29" spans="1:5" x14ac:dyDescent="0.35">
      <c r="A29">
        <v>2008</v>
      </c>
      <c r="C29">
        <v>8</v>
      </c>
      <c r="D29" t="s">
        <v>5</v>
      </c>
      <c r="E29" t="s">
        <v>266</v>
      </c>
    </row>
    <row r="30" spans="1:5" x14ac:dyDescent="0.35">
      <c r="A30">
        <v>2008</v>
      </c>
      <c r="C30">
        <v>145</v>
      </c>
      <c r="D30" t="s">
        <v>213</v>
      </c>
      <c r="E30" t="s">
        <v>266</v>
      </c>
    </row>
    <row r="31" spans="1:5" x14ac:dyDescent="0.35">
      <c r="A31">
        <v>2008</v>
      </c>
      <c r="C31">
        <v>99</v>
      </c>
      <c r="D31" t="s">
        <v>50</v>
      </c>
      <c r="E31" t="s">
        <v>266</v>
      </c>
    </row>
    <row r="32" spans="1:5" x14ac:dyDescent="0.35">
      <c r="A32">
        <v>2008</v>
      </c>
      <c r="C32">
        <v>333</v>
      </c>
      <c r="D32" t="s">
        <v>79</v>
      </c>
      <c r="E32" t="s">
        <v>266</v>
      </c>
    </row>
    <row r="33" spans="1:5" x14ac:dyDescent="0.35">
      <c r="A33">
        <v>2008</v>
      </c>
      <c r="C33">
        <v>2</v>
      </c>
      <c r="D33" t="s">
        <v>126</v>
      </c>
      <c r="E33" t="s">
        <v>266</v>
      </c>
    </row>
    <row r="34" spans="1:5" x14ac:dyDescent="0.35">
      <c r="A34">
        <v>2013</v>
      </c>
      <c r="C34">
        <v>142</v>
      </c>
      <c r="D34" t="s">
        <v>54</v>
      </c>
      <c r="E34" t="s">
        <v>266</v>
      </c>
    </row>
    <row r="35" spans="1:5" x14ac:dyDescent="0.35">
      <c r="A35">
        <v>2013</v>
      </c>
      <c r="C35">
        <v>245</v>
      </c>
      <c r="D35" t="s">
        <v>164</v>
      </c>
      <c r="E35" t="s">
        <v>266</v>
      </c>
    </row>
    <row r="36" spans="1:5" x14ac:dyDescent="0.35">
      <c r="A36">
        <v>2025</v>
      </c>
      <c r="C36">
        <v>201</v>
      </c>
      <c r="D36" t="s">
        <v>121</v>
      </c>
      <c r="E36" t="s">
        <v>266</v>
      </c>
    </row>
    <row r="37" spans="1:5" x14ac:dyDescent="0.35">
      <c r="A37">
        <v>2025</v>
      </c>
      <c r="C37">
        <v>251</v>
      </c>
      <c r="D37" t="s">
        <v>163</v>
      </c>
      <c r="E37" t="s">
        <v>266</v>
      </c>
    </row>
    <row r="38" spans="1:5" x14ac:dyDescent="0.35">
      <c r="A38">
        <v>2008</v>
      </c>
      <c r="B38">
        <v>2024</v>
      </c>
      <c r="C38">
        <v>251</v>
      </c>
      <c r="D38" t="s">
        <v>163</v>
      </c>
      <c r="E38" t="s">
        <v>267</v>
      </c>
    </row>
    <row r="39" spans="1:5" x14ac:dyDescent="0.35">
      <c r="A39">
        <v>2008</v>
      </c>
      <c r="C39">
        <v>2305</v>
      </c>
      <c r="D39" t="s">
        <v>23</v>
      </c>
      <c r="E39" t="s">
        <v>267</v>
      </c>
    </row>
    <row r="40" spans="1:5" x14ac:dyDescent="0.35">
      <c r="A40">
        <v>2008</v>
      </c>
      <c r="C40">
        <v>2306</v>
      </c>
      <c r="D40" t="s">
        <v>24</v>
      </c>
      <c r="E40" t="s">
        <v>267</v>
      </c>
    </row>
    <row r="41" spans="1:5" x14ac:dyDescent="0.35">
      <c r="A41">
        <v>2008</v>
      </c>
      <c r="B41">
        <v>2024</v>
      </c>
      <c r="C41">
        <v>201</v>
      </c>
      <c r="D41" t="s">
        <v>121</v>
      </c>
      <c r="E41" t="s">
        <v>267</v>
      </c>
    </row>
    <row r="42" spans="1:5" x14ac:dyDescent="0.35">
      <c r="A42">
        <v>2008</v>
      </c>
      <c r="C42">
        <v>239</v>
      </c>
      <c r="D42" t="s">
        <v>7</v>
      </c>
      <c r="E42" t="s">
        <v>267</v>
      </c>
    </row>
    <row r="43" spans="1:5" x14ac:dyDescent="0.35">
      <c r="A43">
        <v>2008</v>
      </c>
      <c r="B43">
        <v>2012</v>
      </c>
      <c r="C43">
        <v>245</v>
      </c>
      <c r="D43" t="s">
        <v>164</v>
      </c>
      <c r="E43" t="s">
        <v>267</v>
      </c>
    </row>
    <row r="44" spans="1:5" x14ac:dyDescent="0.35">
      <c r="A44">
        <v>2008</v>
      </c>
      <c r="B44">
        <v>2011</v>
      </c>
      <c r="C44">
        <v>158</v>
      </c>
      <c r="D44" t="s">
        <v>108</v>
      </c>
      <c r="E44" t="s">
        <v>267</v>
      </c>
    </row>
    <row r="45" spans="1:5" x14ac:dyDescent="0.35">
      <c r="A45">
        <v>2008</v>
      </c>
      <c r="C45">
        <v>2641</v>
      </c>
      <c r="D45" t="s">
        <v>230</v>
      </c>
      <c r="E45" t="s">
        <v>267</v>
      </c>
    </row>
    <row r="46" spans="1:5" x14ac:dyDescent="0.35">
      <c r="A46">
        <v>2008</v>
      </c>
      <c r="C46">
        <v>197</v>
      </c>
      <c r="D46" t="s">
        <v>179</v>
      </c>
      <c r="E46" t="s">
        <v>267</v>
      </c>
    </row>
    <row r="47" spans="1:5" x14ac:dyDescent="0.35">
      <c r="A47">
        <v>2008</v>
      </c>
      <c r="B47">
        <v>2012</v>
      </c>
      <c r="C47">
        <v>142</v>
      </c>
      <c r="D47" t="s">
        <v>54</v>
      </c>
      <c r="E47" t="s">
        <v>267</v>
      </c>
    </row>
    <row r="48" spans="1:5" x14ac:dyDescent="0.35">
      <c r="A48">
        <v>2008</v>
      </c>
      <c r="C48">
        <v>66</v>
      </c>
      <c r="D48" t="s">
        <v>86</v>
      </c>
      <c r="E48" t="s">
        <v>267</v>
      </c>
    </row>
    <row r="49" spans="1:5" x14ac:dyDescent="0.35">
      <c r="A49">
        <v>2008</v>
      </c>
      <c r="B49">
        <v>2011</v>
      </c>
      <c r="C49">
        <v>38</v>
      </c>
      <c r="D49" t="s">
        <v>80</v>
      </c>
      <c r="E49" t="s">
        <v>267</v>
      </c>
    </row>
    <row r="50" spans="1:5" x14ac:dyDescent="0.35">
      <c r="A50">
        <v>2013</v>
      </c>
      <c r="C50">
        <v>2628</v>
      </c>
      <c r="D50" t="s">
        <v>241</v>
      </c>
      <c r="E50" t="s">
        <v>267</v>
      </c>
    </row>
    <row r="51" spans="1:5" x14ac:dyDescent="0.35">
      <c r="A51">
        <v>2013</v>
      </c>
      <c r="C51">
        <v>277</v>
      </c>
      <c r="D51" t="s">
        <v>174</v>
      </c>
      <c r="E51" t="s">
        <v>267</v>
      </c>
    </row>
    <row r="52" spans="1:5" x14ac:dyDescent="0.35">
      <c r="A52">
        <v>2024</v>
      </c>
      <c r="C52">
        <v>248</v>
      </c>
      <c r="D52" t="s">
        <v>60</v>
      </c>
      <c r="E52" t="s">
        <v>267</v>
      </c>
    </row>
    <row r="53" spans="1:5" x14ac:dyDescent="0.35">
      <c r="A53">
        <v>2024</v>
      </c>
      <c r="C53">
        <v>252</v>
      </c>
      <c r="D53" t="s">
        <v>11</v>
      </c>
      <c r="E53" t="s">
        <v>267</v>
      </c>
    </row>
    <row r="54" spans="1:5" x14ac:dyDescent="0.35">
      <c r="A54">
        <v>2024</v>
      </c>
      <c r="C54">
        <v>2132</v>
      </c>
      <c r="D54" t="s">
        <v>70</v>
      </c>
      <c r="E54" t="s">
        <v>267</v>
      </c>
    </row>
    <row r="55" spans="1:5" x14ac:dyDescent="0.35">
      <c r="A55">
        <v>2024</v>
      </c>
      <c r="C55">
        <v>2116</v>
      </c>
      <c r="D55" t="s">
        <v>245</v>
      </c>
      <c r="E55" t="s">
        <v>267</v>
      </c>
    </row>
    <row r="56" spans="1:5" x14ac:dyDescent="0.35">
      <c r="A56">
        <v>2025</v>
      </c>
      <c r="C56">
        <v>12</v>
      </c>
      <c r="D56" t="s">
        <v>4</v>
      </c>
      <c r="E56" t="s">
        <v>267</v>
      </c>
    </row>
    <row r="57" spans="1:5" x14ac:dyDescent="0.35">
      <c r="A57">
        <v>2025</v>
      </c>
      <c r="C57">
        <v>9</v>
      </c>
      <c r="D57" t="s">
        <v>39</v>
      </c>
      <c r="E57" t="s">
        <v>267</v>
      </c>
    </row>
    <row r="58" spans="1:5" x14ac:dyDescent="0.35">
      <c r="A58">
        <v>2025</v>
      </c>
      <c r="C58">
        <v>254</v>
      </c>
      <c r="D58" t="s">
        <v>184</v>
      </c>
      <c r="E58" t="s">
        <v>267</v>
      </c>
    </row>
    <row r="59" spans="1:5" x14ac:dyDescent="0.35">
      <c r="A59">
        <v>2025</v>
      </c>
      <c r="C59">
        <v>38</v>
      </c>
      <c r="D59" t="s">
        <v>80</v>
      </c>
      <c r="E59" t="s">
        <v>267</v>
      </c>
    </row>
    <row r="60" spans="1:5" x14ac:dyDescent="0.35">
      <c r="A60">
        <v>2008</v>
      </c>
      <c r="C60">
        <v>275</v>
      </c>
      <c r="D60" t="s">
        <v>177</v>
      </c>
      <c r="E60" t="s">
        <v>268</v>
      </c>
    </row>
    <row r="61" spans="1:5" x14ac:dyDescent="0.35">
      <c r="A61">
        <v>2008</v>
      </c>
      <c r="C61">
        <v>2509</v>
      </c>
      <c r="D61" t="s">
        <v>154</v>
      </c>
      <c r="E61" t="s">
        <v>268</v>
      </c>
    </row>
    <row r="62" spans="1:5" x14ac:dyDescent="0.35">
      <c r="A62">
        <v>2008</v>
      </c>
      <c r="C62">
        <v>213</v>
      </c>
      <c r="D62" t="s">
        <v>197</v>
      </c>
      <c r="E62" t="s">
        <v>268</v>
      </c>
    </row>
    <row r="63" spans="1:5" x14ac:dyDescent="0.35">
      <c r="A63">
        <v>2008</v>
      </c>
      <c r="C63">
        <v>84</v>
      </c>
      <c r="D63" t="s">
        <v>22</v>
      </c>
      <c r="E63" t="s">
        <v>268</v>
      </c>
    </row>
    <row r="64" spans="1:5" x14ac:dyDescent="0.35">
      <c r="A64">
        <v>2008</v>
      </c>
      <c r="C64">
        <v>127</v>
      </c>
      <c r="D64" t="s">
        <v>31</v>
      </c>
      <c r="E64" t="s">
        <v>268</v>
      </c>
    </row>
    <row r="65" spans="1:5" x14ac:dyDescent="0.35">
      <c r="A65">
        <v>2008</v>
      </c>
      <c r="C65">
        <v>194</v>
      </c>
      <c r="D65" t="s">
        <v>77</v>
      </c>
      <c r="E65" t="s">
        <v>268</v>
      </c>
    </row>
    <row r="66" spans="1:5" x14ac:dyDescent="0.35">
      <c r="A66">
        <v>2008</v>
      </c>
      <c r="C66">
        <v>135</v>
      </c>
      <c r="D66" t="s">
        <v>53</v>
      </c>
      <c r="E66" t="s">
        <v>268</v>
      </c>
    </row>
    <row r="67" spans="1:5" x14ac:dyDescent="0.35">
      <c r="A67">
        <v>2008</v>
      </c>
      <c r="C67">
        <v>2294</v>
      </c>
      <c r="D67" t="s">
        <v>101</v>
      </c>
      <c r="E67" t="s">
        <v>268</v>
      </c>
    </row>
    <row r="68" spans="1:5" x14ac:dyDescent="0.35">
      <c r="A68">
        <v>2008</v>
      </c>
      <c r="C68">
        <v>130</v>
      </c>
      <c r="D68" t="s">
        <v>52</v>
      </c>
      <c r="E68" t="s">
        <v>268</v>
      </c>
    </row>
    <row r="69" spans="1:5" x14ac:dyDescent="0.35">
      <c r="A69">
        <v>2008</v>
      </c>
      <c r="C69">
        <v>356</v>
      </c>
      <c r="D69" t="s">
        <v>49</v>
      </c>
      <c r="E69" t="s">
        <v>268</v>
      </c>
    </row>
    <row r="70" spans="1:5" x14ac:dyDescent="0.35">
      <c r="A70">
        <v>2008</v>
      </c>
      <c r="C70">
        <v>77</v>
      </c>
      <c r="D70" t="s">
        <v>234</v>
      </c>
      <c r="E70" t="s">
        <v>268</v>
      </c>
    </row>
    <row r="71" spans="1:5" x14ac:dyDescent="0.35">
      <c r="A71">
        <v>2012</v>
      </c>
      <c r="C71">
        <v>158</v>
      </c>
      <c r="D71" t="s">
        <v>108</v>
      </c>
      <c r="E71" t="s">
        <v>268</v>
      </c>
    </row>
    <row r="72" spans="1:5" x14ac:dyDescent="0.35">
      <c r="A72">
        <v>2015</v>
      </c>
      <c r="C72">
        <v>120</v>
      </c>
      <c r="D72" t="s">
        <v>51</v>
      </c>
      <c r="E72" t="s">
        <v>268</v>
      </c>
    </row>
    <row r="73" spans="1:5" x14ac:dyDescent="0.35">
      <c r="A73">
        <v>2015</v>
      </c>
      <c r="C73">
        <v>164</v>
      </c>
      <c r="D73" t="s">
        <v>246</v>
      </c>
      <c r="E73" t="s">
        <v>268</v>
      </c>
    </row>
    <row r="74" spans="1:5" x14ac:dyDescent="0.35">
      <c r="A74">
        <v>2025</v>
      </c>
      <c r="C74">
        <v>26</v>
      </c>
      <c r="D74" t="s">
        <v>165</v>
      </c>
      <c r="E74" t="s">
        <v>268</v>
      </c>
    </row>
    <row r="75" spans="1:5" x14ac:dyDescent="0.35">
      <c r="A75">
        <v>2025</v>
      </c>
      <c r="C75">
        <v>30</v>
      </c>
      <c r="D75" t="s">
        <v>169</v>
      </c>
      <c r="E75" t="s">
        <v>268</v>
      </c>
    </row>
    <row r="76" spans="1:5" x14ac:dyDescent="0.35">
      <c r="A76">
        <v>2025</v>
      </c>
      <c r="C76">
        <v>2483</v>
      </c>
      <c r="D76" t="s">
        <v>122</v>
      </c>
      <c r="E76" t="s">
        <v>268</v>
      </c>
    </row>
    <row r="77" spans="1:5" x14ac:dyDescent="0.35">
      <c r="A77">
        <v>2025</v>
      </c>
      <c r="C77">
        <v>264</v>
      </c>
      <c r="D77" t="s">
        <v>188</v>
      </c>
      <c r="E77" t="s">
        <v>268</v>
      </c>
    </row>
    <row r="78" spans="1:5" x14ac:dyDescent="0.35">
      <c r="A78">
        <v>2008</v>
      </c>
      <c r="C78">
        <v>46</v>
      </c>
      <c r="D78" t="s">
        <v>19</v>
      </c>
      <c r="E78" t="s">
        <v>270</v>
      </c>
    </row>
    <row r="79" spans="1:5" x14ac:dyDescent="0.35">
      <c r="A79">
        <v>2008</v>
      </c>
      <c r="B79">
        <v>2013</v>
      </c>
      <c r="C79">
        <v>97</v>
      </c>
      <c r="D79" t="s">
        <v>27</v>
      </c>
      <c r="E79" t="s">
        <v>270</v>
      </c>
    </row>
    <row r="80" spans="1:5" x14ac:dyDescent="0.35">
      <c r="A80">
        <v>2008</v>
      </c>
      <c r="B80">
        <v>2013</v>
      </c>
      <c r="C80">
        <v>87</v>
      </c>
      <c r="D80" t="s">
        <v>36</v>
      </c>
      <c r="E80" t="s">
        <v>270</v>
      </c>
    </row>
    <row r="81" spans="1:5" x14ac:dyDescent="0.35">
      <c r="A81">
        <v>2008</v>
      </c>
      <c r="B81">
        <v>2013</v>
      </c>
      <c r="C81">
        <v>41</v>
      </c>
      <c r="D81" t="s">
        <v>166</v>
      </c>
      <c r="E81" t="s">
        <v>270</v>
      </c>
    </row>
    <row r="82" spans="1:5" x14ac:dyDescent="0.35">
      <c r="A82">
        <v>2008</v>
      </c>
      <c r="B82">
        <v>2012</v>
      </c>
      <c r="C82">
        <v>277</v>
      </c>
      <c r="D82" t="s">
        <v>174</v>
      </c>
      <c r="E82" t="s">
        <v>270</v>
      </c>
    </row>
    <row r="83" spans="1:5" x14ac:dyDescent="0.35">
      <c r="A83">
        <v>2008</v>
      </c>
      <c r="C83">
        <v>269</v>
      </c>
      <c r="D83" t="s">
        <v>28</v>
      </c>
      <c r="E83" t="s">
        <v>270</v>
      </c>
    </row>
    <row r="84" spans="1:5" x14ac:dyDescent="0.35">
      <c r="A84">
        <v>2008</v>
      </c>
      <c r="B84">
        <v>2013</v>
      </c>
      <c r="C84">
        <v>221</v>
      </c>
      <c r="D84" t="s">
        <v>152</v>
      </c>
      <c r="E84" t="s">
        <v>270</v>
      </c>
    </row>
    <row r="85" spans="1:5" x14ac:dyDescent="0.35">
      <c r="A85">
        <v>2008</v>
      </c>
      <c r="C85">
        <v>222</v>
      </c>
      <c r="D85" t="s">
        <v>172</v>
      </c>
      <c r="E85" t="s">
        <v>270</v>
      </c>
    </row>
    <row r="86" spans="1:5" x14ac:dyDescent="0.35">
      <c r="A86">
        <v>2008</v>
      </c>
      <c r="B86">
        <v>2013</v>
      </c>
      <c r="C86">
        <v>183</v>
      </c>
      <c r="D86" t="s">
        <v>183</v>
      </c>
      <c r="E86" t="s">
        <v>270</v>
      </c>
    </row>
    <row r="87" spans="1:5" x14ac:dyDescent="0.35">
      <c r="A87">
        <v>2008</v>
      </c>
      <c r="B87">
        <v>2013</v>
      </c>
      <c r="C87">
        <v>2132</v>
      </c>
      <c r="D87" t="s">
        <v>70</v>
      </c>
      <c r="E87" t="s">
        <v>270</v>
      </c>
    </row>
    <row r="88" spans="1:5" x14ac:dyDescent="0.35">
      <c r="A88">
        <v>2008</v>
      </c>
      <c r="C88">
        <v>2550</v>
      </c>
      <c r="D88" t="s">
        <v>228</v>
      </c>
      <c r="E88" t="s">
        <v>270</v>
      </c>
    </row>
    <row r="89" spans="1:5" x14ac:dyDescent="0.35">
      <c r="A89">
        <v>2008</v>
      </c>
      <c r="C89">
        <v>2507</v>
      </c>
      <c r="D89" t="s">
        <v>217</v>
      </c>
      <c r="E89" t="s">
        <v>270</v>
      </c>
    </row>
    <row r="90" spans="1:5" x14ac:dyDescent="0.35">
      <c r="A90">
        <v>2008</v>
      </c>
      <c r="C90">
        <v>305</v>
      </c>
      <c r="D90" t="s">
        <v>269</v>
      </c>
      <c r="E90" t="s">
        <v>270</v>
      </c>
    </row>
    <row r="91" spans="1:5" x14ac:dyDescent="0.35">
      <c r="A91">
        <v>2008</v>
      </c>
      <c r="C91">
        <v>2599</v>
      </c>
      <c r="D91" t="s">
        <v>200</v>
      </c>
      <c r="E91" t="s">
        <v>270</v>
      </c>
    </row>
    <row r="92" spans="1:5" x14ac:dyDescent="0.35">
      <c r="A92">
        <v>2008</v>
      </c>
      <c r="B92">
        <v>2013</v>
      </c>
      <c r="C92">
        <v>58</v>
      </c>
      <c r="D92" t="s">
        <v>206</v>
      </c>
      <c r="E92" t="s">
        <v>270</v>
      </c>
    </row>
    <row r="93" spans="1:5" x14ac:dyDescent="0.35">
      <c r="A93">
        <v>2008</v>
      </c>
      <c r="B93">
        <v>2013</v>
      </c>
      <c r="C93">
        <v>164</v>
      </c>
      <c r="D93" t="s">
        <v>246</v>
      </c>
      <c r="E93" t="s">
        <v>270</v>
      </c>
    </row>
    <row r="94" spans="1:5" x14ac:dyDescent="0.35">
      <c r="A94">
        <v>2014</v>
      </c>
      <c r="C94">
        <v>156</v>
      </c>
      <c r="D94" t="s">
        <v>82</v>
      </c>
      <c r="E94" t="s">
        <v>270</v>
      </c>
    </row>
    <row r="95" spans="1:5" x14ac:dyDescent="0.35">
      <c r="A95">
        <v>2014</v>
      </c>
      <c r="C95">
        <v>2752</v>
      </c>
      <c r="D95" t="s">
        <v>178</v>
      </c>
      <c r="E95" t="s">
        <v>270</v>
      </c>
    </row>
    <row r="96" spans="1:5" x14ac:dyDescent="0.35">
      <c r="A96">
        <v>2014</v>
      </c>
      <c r="C96">
        <v>2086</v>
      </c>
      <c r="D96" t="s">
        <v>10</v>
      </c>
      <c r="E96" t="s">
        <v>270</v>
      </c>
    </row>
    <row r="97" spans="1:5" x14ac:dyDescent="0.35">
      <c r="A97">
        <v>2021</v>
      </c>
      <c r="C97">
        <v>41</v>
      </c>
      <c r="D97" t="s">
        <v>166</v>
      </c>
      <c r="E97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power_conf</vt:lpstr>
      <vt:lpstr>team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Farr</dc:creator>
  <cp:lastModifiedBy>Tyler Farr</cp:lastModifiedBy>
  <dcterms:created xsi:type="dcterms:W3CDTF">2026-03-07T01:49:21Z</dcterms:created>
  <dcterms:modified xsi:type="dcterms:W3CDTF">2026-03-19T02:56:24Z</dcterms:modified>
</cp:coreProperties>
</file>